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61b5c654e8a460/Documents/"/>
    </mc:Choice>
  </mc:AlternateContent>
  <xr:revisionPtr revIDLastSave="135" documentId="11_47BCAD876DE4009625FBBDE1742C9C1051B5079F" xr6:coauthVersionLast="47" xr6:coauthVersionMax="47" xr10:uidLastSave="{BEA00A11-93B3-43E2-B116-2026E99EE208}"/>
  <bookViews>
    <workbookView xWindow="-108" yWindow="-108" windowWidth="23256" windowHeight="12456" xr2:uid="{00000000-000D-0000-FFFF-FFFF00000000}"/>
  </bookViews>
  <sheets>
    <sheet name="Summary &amp; Forecast" sheetId="1" r:id="rId1"/>
    <sheet name="Q1 Domestic trap" sheetId="4" r:id="rId2"/>
    <sheet name="Q2 Capital penalty" sheetId="6" r:id="rId3"/>
    <sheet name="Q3 Export mirage" sheetId="5" r:id="rId4"/>
    <sheet name="DB dim Commercial risk" sheetId="7" r:id="rId5"/>
    <sheet name="Operating mines" sheetId="2" r:id="rId6"/>
    <sheet name="Closed mines" sheetId="3" r:id="rId7"/>
  </sheets>
  <calcPr calcId="124519"/>
</workbook>
</file>

<file path=xl/sharedStrings.xml><?xml version="1.0" encoding="utf-8"?>
<sst xmlns="http://schemas.openxmlformats.org/spreadsheetml/2006/main" count="1793" uniqueCount="424">
  <si>
    <t>Metric</t>
  </si>
  <si>
    <t>Value</t>
  </si>
  <si>
    <t>Total Regional Reserves (Mt)</t>
  </si>
  <si>
    <t>Current Extraction Rate (Mtpa)</t>
  </si>
  <si>
    <t>Geological Exhaustion Horizon (Years)</t>
  </si>
  <si>
    <t>Total Direct Workforce at Risk</t>
  </si>
  <si>
    <t>Primary Consumer, Destination Name</t>
  </si>
  <si>
    <t>Total Reserves (Proven and Probable, Mt)</t>
  </si>
  <si>
    <t>Production (Mtpa)</t>
  </si>
  <si>
    <t>Workforce Size</t>
  </si>
  <si>
    <t>Implied Local Exhaustion (Years)</t>
  </si>
  <si>
    <t>Kendal Power Station</t>
  </si>
  <si>
    <t>Duvha Power Station</t>
  </si>
  <si>
    <t>Matla Power Station</t>
  </si>
  <si>
    <t>Arnot Power Station</t>
  </si>
  <si>
    <t>Tutuka Power Station</t>
  </si>
  <si>
    <t>Kriel Power Station</t>
  </si>
  <si>
    <t>Kusile Power Station</t>
  </si>
  <si>
    <t>Lethabo Power Station</t>
  </si>
  <si>
    <t>Mine Name</t>
  </si>
  <si>
    <t>Mine Name AKAs</t>
  </si>
  <si>
    <t>Complex Name</t>
  </si>
  <si>
    <t>Status</t>
  </si>
  <si>
    <t>Status Detail</t>
  </si>
  <si>
    <t>Project Type</t>
  </si>
  <si>
    <t>Project Phase</t>
  </si>
  <si>
    <t>Owners</t>
  </si>
  <si>
    <t>Parent Company</t>
  </si>
  <si>
    <t>Company HQs</t>
  </si>
  <si>
    <t>Capacity (Mtpa)</t>
  </si>
  <si>
    <t>Year of Production</t>
  </si>
  <si>
    <t>Coal Output (Annual, Mst)</t>
  </si>
  <si>
    <t>Mine Type</t>
  </si>
  <si>
    <t>Mining Method</t>
  </si>
  <si>
    <t>Mine Size (Km2)</t>
  </si>
  <si>
    <t>Mine Depth (m)</t>
  </si>
  <si>
    <t>Depth Accuracy</t>
  </si>
  <si>
    <t>Workforce Accuracy</t>
  </si>
  <si>
    <t>Coal Type</t>
  </si>
  <si>
    <t>Coal Grade</t>
  </si>
  <si>
    <t>Percentage of Met Coal</t>
  </si>
  <si>
    <t>Percentage of Thermal Coal</t>
  </si>
  <si>
    <t>Accuracy Rating</t>
  </si>
  <si>
    <t>Year of Total Reserves Recorded</t>
  </si>
  <si>
    <t>Total Resource (Inferred, Indicated, Measured)</t>
  </si>
  <si>
    <t>Reserve to Production Ratio (R/P)</t>
  </si>
  <si>
    <t>Opening Year</t>
  </si>
  <si>
    <t>Closing Year</t>
  </si>
  <si>
    <t>Reported Life of Mine</t>
  </si>
  <si>
    <t>Reported Year of Mine Life</t>
  </si>
  <si>
    <t>Coalfield</t>
  </si>
  <si>
    <t>Location</t>
  </si>
  <si>
    <t>Prefecture, District</t>
  </si>
  <si>
    <t>Province</t>
  </si>
  <si>
    <t>Location Accuracy</t>
  </si>
  <si>
    <t>Primary Consumer, Destination</t>
  </si>
  <si>
    <t>Alexander Coal Project</t>
  </si>
  <si>
    <t>Argent Colliery</t>
  </si>
  <si>
    <t>Arnot Coal Mine</t>
  </si>
  <si>
    <t>Arnot South Colliery</t>
  </si>
  <si>
    <t>Belfast Coal Mine</t>
  </si>
  <si>
    <t>Black Wattle Coal Mine</t>
  </si>
  <si>
    <t>Bosjesspruit Coal Mine</t>
  </si>
  <si>
    <t>Dorstfontein Complex</t>
  </si>
  <si>
    <t>Eastside Colliery</t>
  </si>
  <si>
    <t>Elandsfontein Colliery</t>
  </si>
  <si>
    <t>Elandspruit Colliery</t>
  </si>
  <si>
    <t>Eloff Coal Project</t>
  </si>
  <si>
    <t>Fentonia Coal Mine</t>
  </si>
  <si>
    <t>Forzando Complex</t>
  </si>
  <si>
    <t>Gila Coal Mine</t>
  </si>
  <si>
    <t>Goedehoop Coal Mine</t>
  </si>
  <si>
    <t>Goedgevonden Coal Mine</t>
  </si>
  <si>
    <t>Graspan Colliery</t>
  </si>
  <si>
    <t>Greenside Coal Mine</t>
  </si>
  <si>
    <t>Halfgewonnen Colliery</t>
  </si>
  <si>
    <t>Impumelelo Coal Mine</t>
  </si>
  <si>
    <t>Impunzi Complex</t>
  </si>
  <si>
    <t>Isibonelo Coal Mine</t>
  </si>
  <si>
    <t>Iyanga Coal Mine Cluster</t>
  </si>
  <si>
    <t>Khanye Coal Mine</t>
  </si>
  <si>
    <t>Khanyisa Colliery</t>
  </si>
  <si>
    <t>Khutala Coal Mine</t>
  </si>
  <si>
    <t>Khwezela Coal Mine</t>
  </si>
  <si>
    <t>Klipspruit Coal Mine</t>
  </si>
  <si>
    <t>Koornfontein Coal Mine</t>
  </si>
  <si>
    <t>Kriel Coal Mine</t>
  </si>
  <si>
    <t>Leeuwpan Coal Mine</t>
  </si>
  <si>
    <t>Lefa Coal Mine</t>
  </si>
  <si>
    <t>Leslie 1 Coal Mine</t>
  </si>
  <si>
    <t>Mafube Colliery</t>
  </si>
  <si>
    <t>Manungu Coal Mine</t>
  </si>
  <si>
    <t>Matla Coal Mine</t>
  </si>
  <si>
    <t>Middelburg Complex (MBO)</t>
  </si>
  <si>
    <t>Middelburg Mining Services (MMS)</t>
  </si>
  <si>
    <t>Mimosa Colliery</t>
  </si>
  <si>
    <t>Moabsvelden Coal Mine</t>
  </si>
  <si>
    <t>Modderfontein Colliery</t>
  </si>
  <si>
    <t>New Clydesdale Colliery</t>
  </si>
  <si>
    <t>New Denmark Coal Mine</t>
  </si>
  <si>
    <t>New Largo Coal Mine</t>
  </si>
  <si>
    <t>Nndanganeni Coal Mine</t>
  </si>
  <si>
    <t>North Block Complex</t>
  </si>
  <si>
    <t>Optimum Coal Mine</t>
  </si>
  <si>
    <t>Overlooked Mine</t>
  </si>
  <si>
    <t>Palesa Coal Mine</t>
  </si>
  <si>
    <t>Pegasus Coal Mine</t>
  </si>
  <si>
    <t>Rietvlei Colliery</t>
  </si>
  <si>
    <t>Rirhandzu Colliery</t>
  </si>
  <si>
    <t>Savmore-Maquasa Coal Mine</t>
  </si>
  <si>
    <t>Shondoni Coal Mine</t>
  </si>
  <si>
    <t>Springboklaagte Coal Mine</t>
  </si>
  <si>
    <t>Sterkfontein Coal Mine</t>
  </si>
  <si>
    <t>Stuart Colliery</t>
  </si>
  <si>
    <t>Sukuma Coal Mine</t>
  </si>
  <si>
    <t>Syferfontein Coal Mine</t>
  </si>
  <si>
    <t>Thabametsi Coal Mine</t>
  </si>
  <si>
    <t>Thuso Coal Project</t>
  </si>
  <si>
    <t>Tumelo Coal Mine</t>
  </si>
  <si>
    <t>Tweefontein Coal Mine</t>
  </si>
  <si>
    <t>Twistdraai Thubelisha Coal Mine</t>
  </si>
  <si>
    <t>Ubuntu Colliery</t>
  </si>
  <si>
    <t>Ukwenama Coal Mine</t>
  </si>
  <si>
    <t>Verkeerdepan Coal Mine</t>
  </si>
  <si>
    <t>Vlakfontein Coal Mine</t>
  </si>
  <si>
    <t>Vlakvarkfontein Coal Mine</t>
  </si>
  <si>
    <t>Welstand Coal Mine</t>
  </si>
  <si>
    <t>Weltevreden Project</t>
  </si>
  <si>
    <t>Wildebeestfontein Colliery</t>
  </si>
  <si>
    <t>Woestalleen Colliery</t>
  </si>
  <si>
    <t>Wonderfontein Coal Mine</t>
  </si>
  <si>
    <t>Zibulo Coal Mine</t>
  </si>
  <si>
    <t>Zonnebloem Coal Mine</t>
  </si>
  <si>
    <t>Schoongezicht</t>
  </si>
  <si>
    <t>Arnot Colliery, Arnot OpCo</t>
  </si>
  <si>
    <t>Belfast Expansion Project (BEP)</t>
  </si>
  <si>
    <t>Belfast Implementation Project (BIP)</t>
  </si>
  <si>
    <t>Bosjesspruit Irenedale, Secunda Mining Complex</t>
  </si>
  <si>
    <t>Katlego Operations</t>
  </si>
  <si>
    <t>Elandspruit Complex</t>
  </si>
  <si>
    <t>Kangala &amp; Eloff Colliery, Kangala extension</t>
  </si>
  <si>
    <t>Forzando North (FZON) and Forzando South (FZOS), Katlego Operations</t>
  </si>
  <si>
    <t>Koppie Coal Mine</t>
  </si>
  <si>
    <t>Goedehoop North, GHN, Vlaklaagte, Bank,</t>
  </si>
  <si>
    <t>Brandspruit</t>
  </si>
  <si>
    <t>Participative Coal Business, Arthur Taylor, ATCOM, Phoenix, Office</t>
  </si>
  <si>
    <t>Klipfontein (Maboko), Welgelegen, Leeuwpoort</t>
  </si>
  <si>
    <t>Menar</t>
  </si>
  <si>
    <t>Khanyisa Complex</t>
  </si>
  <si>
    <t>Clydesdale Project</t>
  </si>
  <si>
    <t>Landau, Kleinkopje, Kromdraai</t>
  </si>
  <si>
    <t>Klipspruit-New Largo, Bankfontein pit, Smaldeel pit, Klipspruit Extension South, Klipsruite Extension Weltevreden, KPSX, KPSS</t>
  </si>
  <si>
    <t>KCM, Blinkpan, Gloria</t>
  </si>
  <si>
    <t>Life Expansion (Lifeex)</t>
  </si>
  <si>
    <t>Ergosat Mine</t>
  </si>
  <si>
    <t>Wildfontein, Nooitgedacht, Springboklaagte</t>
  </si>
  <si>
    <t>No 1, No 2, No 3, No 5</t>
  </si>
  <si>
    <t>Matla Mine 1 relocation project (MM1R)</t>
  </si>
  <si>
    <t>Wolvekrans Middelburg Coal Mine, Ifalethu, MMS</t>
  </si>
  <si>
    <t>Northern Coal Mine</t>
  </si>
  <si>
    <t>NCC, Roodekop, Diepspruit West</t>
  </si>
  <si>
    <t>Old Kopermyn Project</t>
  </si>
  <si>
    <t>Glisa, Eerstelingsfontein, Belfast coal project, Paardeplaats</t>
  </si>
  <si>
    <t>Schoonoord</t>
  </si>
  <si>
    <t>Khusela</t>
  </si>
  <si>
    <t>Block C, Maquasa, Kangra Coal</t>
  </si>
  <si>
    <t>Middelbult</t>
  </si>
  <si>
    <t>Springfield</t>
  </si>
  <si>
    <t>Riversdale, Tweedraai, Weltevrede</t>
  </si>
  <si>
    <t>Witfontein Coal Mine</t>
  </si>
  <si>
    <t>Participating Coal Business, Waterpan, Boschmans, Witcons, Tavistock and South Witbank, South Stock</t>
  </si>
  <si>
    <t>Thubelisha</t>
  </si>
  <si>
    <t>Brakfontein</t>
  </si>
  <si>
    <t>Driefontein</t>
  </si>
  <si>
    <t>Msobo Mine</t>
  </si>
  <si>
    <t>AEMFC, Ogies Mine</t>
  </si>
  <si>
    <t>Ntshovelo Colliery</t>
  </si>
  <si>
    <t>TNC, Welstand Colliery-Khashani Colliery</t>
  </si>
  <si>
    <t>Klipspruit Life Extension Project, KPSX</t>
  </si>
  <si>
    <t>Umsimbithi</t>
  </si>
  <si>
    <t>Zibulo North, Zondagsfontein West Project</t>
  </si>
  <si>
    <t>Vulna</t>
  </si>
  <si>
    <t>Secunda Mining Complex</t>
  </si>
  <si>
    <t>Katlego Complex</t>
  </si>
  <si>
    <t>Middleburg Complex (MBO)</t>
  </si>
  <si>
    <t>Tswelopele Complex</t>
  </si>
  <si>
    <t>Proposed</t>
  </si>
  <si>
    <t>Cancelled</t>
  </si>
  <si>
    <t>Mothballed</t>
  </si>
  <si>
    <t>Operating</t>
  </si>
  <si>
    <t>Shelved</t>
  </si>
  <si>
    <t>Pre-Permit</t>
  </si>
  <si>
    <t>Announced</t>
  </si>
  <si>
    <t>Care and Maintenance</t>
  </si>
  <si>
    <t>Permitted</t>
  </si>
  <si>
    <t>Construction</t>
  </si>
  <si>
    <t>New</t>
  </si>
  <si>
    <t>Expansion</t>
  </si>
  <si>
    <t>Extension</t>
  </si>
  <si>
    <t>Recommission</t>
  </si>
  <si>
    <t>Phase 1</t>
  </si>
  <si>
    <t>Sasol Mining Pty Ltd</t>
  </si>
  <si>
    <t>Puckree Group</t>
  </si>
  <si>
    <t>Arnot OpCo Pty Ltd</t>
  </si>
  <si>
    <t>TerraCom</t>
  </si>
  <si>
    <t>Exxaro Coal Mpumalanga Pty Ltd</t>
  </si>
  <si>
    <t>Bisichi Mining PLC [62.5%]; Vunani Mining Pty Ltd [37.5%]</t>
  </si>
  <si>
    <t>Katlego Coal Ltd</t>
  </si>
  <si>
    <t>Black Gold Coal Co</t>
  </si>
  <si>
    <t>Anker Coal and Mineral Holdings</t>
  </si>
  <si>
    <t>Salungano Group Ltd</t>
  </si>
  <si>
    <t>Eloff Mining Company</t>
  </si>
  <si>
    <t>Joe Singh Group</t>
  </si>
  <si>
    <t>Canyon Coal Pty Ltd</t>
  </si>
  <si>
    <t>GHN Resources Pty Ltd</t>
  </si>
  <si>
    <t>Goedgevonden Coal Pty Ltd</t>
  </si>
  <si>
    <t>Independent Third Party</t>
  </si>
  <si>
    <t>Thungela Operations Pty Ltd</t>
  </si>
  <si>
    <t>Overlooked Colliery Alpha</t>
  </si>
  <si>
    <t>Glencore South Africa</t>
  </si>
  <si>
    <t>Beryl Group</t>
  </si>
  <si>
    <t>Seriti Power Pty Ltd</t>
  </si>
  <si>
    <t>Black Royalty Minerals</t>
  </si>
  <si>
    <t>Seriti Coal Pty Ltd</t>
  </si>
  <si>
    <t>Exxaro Coal Pty Ltd</t>
  </si>
  <si>
    <t>Ergosat Ltd</t>
  </si>
  <si>
    <t>Thungela Resources Ltd</t>
  </si>
  <si>
    <t>Mafube Coal Mining Pty Ltd</t>
  </si>
  <si>
    <t>Mbuyelo Coal</t>
  </si>
  <si>
    <t>Northern Coal Pty Ltd</t>
  </si>
  <si>
    <t>Xakwa Coal</t>
  </si>
  <si>
    <t>Ndalamo Resources Ltd [51%]; Universal Coal PLC [49%]</t>
  </si>
  <si>
    <t>New Largo Coal Pty Ltd</t>
  </si>
  <si>
    <t>Lodani Coal Pty Ltd</t>
  </si>
  <si>
    <t>Liberty Mine Services</t>
  </si>
  <si>
    <t>Overlooked Colliery</t>
  </si>
  <si>
    <t>HCI Coal</t>
  </si>
  <si>
    <t>Rietvlei Mining Company Pty Ltd</t>
  </si>
  <si>
    <t>Mbuyelo Group</t>
  </si>
  <si>
    <t>Kangra Coal</t>
  </si>
  <si>
    <t>Ndalamo Resources Pty Ltd</t>
  </si>
  <si>
    <t>Stuart Coal</t>
  </si>
  <si>
    <t>Exxaro Resources Ltd</t>
  </si>
  <si>
    <t>Overlooked Colliery Alpha Ltd</t>
  </si>
  <si>
    <t>Glencore Holdings South Africa Pty Ltd</t>
  </si>
  <si>
    <t>Ndalamo Resources [51.00%]; Universal Coal PLC [49.00%]</t>
  </si>
  <si>
    <t>Msobo Coal Pty Ltd</t>
  </si>
  <si>
    <t>African Exploration Mining and Finance Corp</t>
  </si>
  <si>
    <t>Reliable African Energy NV</t>
  </si>
  <si>
    <t>Opsirex</t>
  </si>
  <si>
    <t>Coal of Africa</t>
  </si>
  <si>
    <t>Anglo American Inyosi Coal Pty Ltd</t>
  </si>
  <si>
    <t>Glencore Operations SA</t>
  </si>
  <si>
    <t>Sasol Ltd [89.8%]</t>
  </si>
  <si>
    <t>Puckree Group Pty Ltd [100.0%]</t>
  </si>
  <si>
    <t>Arnot HoldCo Pty Ltd [90.0%]; Arnot Community Trust [5.0%]; Arnot Qualifying Employee Trust [5.0%]</t>
  </si>
  <si>
    <t>TerraCom Ltd [100.0%]</t>
  </si>
  <si>
    <t>Exxaro Resources Ltd [100.0%]</t>
  </si>
  <si>
    <t>Bisichi PLC [62.5%]; Vunani Capital Partners Ltd</t>
  </si>
  <si>
    <t>Katlego Coal Pty Ltd [100.0%]</t>
  </si>
  <si>
    <t>Black Gold Coal Co [100.0%]</t>
  </si>
  <si>
    <t>Anker Coal and Mineral Holdings SA Pty Ltd [100.0%]</t>
  </si>
  <si>
    <t>Salungano Group Ltd [100.0%]</t>
  </si>
  <si>
    <t>Ndalamo Resources Pty Ltd [51.0%]; TerraCom Ltd [49.0%]</t>
  </si>
  <si>
    <t>Joe Singh Group Of Companies Pty Ltd [100.0%]</t>
  </si>
  <si>
    <t>natural person(s); Menar Capital Pty Ltd</t>
  </si>
  <si>
    <t>GHN Resources Pty Ltd [100.0%]</t>
  </si>
  <si>
    <t>unknown [2.2%]; Glencore PLC [71.8%]; African Rainbow Minerals Ltd [26.0%]</t>
  </si>
  <si>
    <t>Independent Third Party [100.0%]</t>
  </si>
  <si>
    <t>Thungela Resources Ltd [90.0%]; Nkulo Community Partnership Trust [5.0%]; Sisonke Employee Empowerment Scheme [5.0%]</t>
  </si>
  <si>
    <t>Overlooked Colliery Alpha Pty Ltd [100.0%]</t>
  </si>
  <si>
    <t>unknown [3.0%]; Glencore PLC [97.0%]</t>
  </si>
  <si>
    <t>Beryl Group [100.0%]</t>
  </si>
  <si>
    <t>Community Investment Holdings Pty Ltd [20.7%]; Zungu Investments Company Pty Ltd [20.7%]; Coalzar Pty Ltd [7.2%]; Masimong Group Holdings Pty Ltd; Batho Batho Trust</t>
  </si>
  <si>
    <t>Makole Group Pty Ltd</t>
  </si>
  <si>
    <t>Community Investment Holdings Pty Ltd [20.7%]; Zungu Investments Company Pty Ltd [20.7%]; Coalzar Pty Ltd [7.2%]; Masimong Group Holdings Pty Ltd; small shareholder(s) [5.0%]; Batho Batho Trust; Seriti Coal Communities [5.0%]</t>
  </si>
  <si>
    <t>Ergosat Pty Ltd [100.0%]</t>
  </si>
  <si>
    <t>Thungela Resources Ltd [100.0%]</t>
  </si>
  <si>
    <t>Thungela Resources Ltd [45.0%]; Nkulo Community Partnership Trust [2.5%]; Sisonke Employee Empowerment Scheme [2.5%]; Exxaro Resources Ltd [50.0%]</t>
  </si>
  <si>
    <t>unknown [54.8%]; Africa Coal Partners Ltd [45.2%]</t>
  </si>
  <si>
    <t>Northern Coal Pty Ltd [100.0%]</t>
  </si>
  <si>
    <t>Xakwa Coal Pty Ltd [100.0%]</t>
  </si>
  <si>
    <t>Industrial Development Corporation of South Africa Ltd [22.5%]; New Largo Employee Trust [5.0%]; New Largo Community Trust [5.0%]; Community Investment Holdings Pty Ltd [10.4%]; Zungu Investments Company Pty Ltd [10.4%]; Coalzar Pty Ltd [26.1%]; Masimong Group Holdings Pty Ltd; Batho Batho Trust</t>
  </si>
  <si>
    <t>Londani Coal Pty Ltd [100.0%]</t>
  </si>
  <si>
    <t>Liberty Mine Services [100.0%]</t>
  </si>
  <si>
    <t>Overlooked Colliery Pty Ltd [100.0%]</t>
  </si>
  <si>
    <t>Hosken Consolidated Investments Ltd [100.0%]</t>
  </si>
  <si>
    <t>Emalangeni Mining Resources Pty Ltd; Mwelase Investment Holdings Pty Ltd</t>
  </si>
  <si>
    <t>Mbuyelo Group Pty Ltd [100.0%]</t>
  </si>
  <si>
    <t>Menar Capital Pty Ltd [100.0%]</t>
  </si>
  <si>
    <t>Ndalamo Resources Pty Ltd [100.0%]</t>
  </si>
  <si>
    <t>Stuart Coal Pty Ltd [100.0%]</t>
  </si>
  <si>
    <t>Glencore Holdings South Africa Pty Ltd [100.0%]</t>
  </si>
  <si>
    <t>Msobo Coal Pty Ltd [100.0%]</t>
  </si>
  <si>
    <t>CEF SOC Ltd</t>
  </si>
  <si>
    <t>Reliable African Energy NV [100.0%]</t>
  </si>
  <si>
    <t>Opsirex Pty Ltd [100.0%]</t>
  </si>
  <si>
    <t>MC Mining Ltd [100.0%]</t>
  </si>
  <si>
    <t>Thungela Resources Ltd [92.7%]; Nkulo Community Partnership Trust [3.6%]; Sisonke Employee Empowerment Scheme [3.6%]</t>
  </si>
  <si>
    <t>South Africa</t>
  </si>
  <si>
    <t>Australia</t>
  </si>
  <si>
    <t>UK</t>
  </si>
  <si>
    <t>South Africa, Netherlands</t>
  </si>
  <si>
    <t>South Africa, Australia</t>
  </si>
  <si>
    <t>UK, South Africa</t>
  </si>
  <si>
    <t>Switzerland, South Africa</t>
  </si>
  <si>
    <t>South Africa, Switzerland</t>
  </si>
  <si>
    <t>Australia, South Africa</t>
  </si>
  <si>
    <t>South Africa, UK</t>
  </si>
  <si>
    <t>Switzerland</t>
  </si>
  <si>
    <t>Underground</t>
  </si>
  <si>
    <t>Surface</t>
  </si>
  <si>
    <t>Underground &amp; Surface</t>
  </si>
  <si>
    <t>Bord and Pillar</t>
  </si>
  <si>
    <t>Open Pit</t>
  </si>
  <si>
    <t>Mixed</t>
  </si>
  <si>
    <t>Strip</t>
  </si>
  <si>
    <t>Longwall</t>
  </si>
  <si>
    <t>Not Found</t>
  </si>
  <si>
    <t>Estimate</t>
  </si>
  <si>
    <t>Exact</t>
  </si>
  <si>
    <t>Bituminous</t>
  </si>
  <si>
    <t>Subbituminous</t>
  </si>
  <si>
    <t>Thermal</t>
  </si>
  <si>
    <t>Thermal &amp; Met</t>
  </si>
  <si>
    <t>Estimated</t>
  </si>
  <si>
    <t>Reported, Estimated</t>
  </si>
  <si>
    <t>Witbank</t>
  </si>
  <si>
    <t>Highveld</t>
  </si>
  <si>
    <t>Kriel</t>
  </si>
  <si>
    <t>Middelburg</t>
  </si>
  <si>
    <t>Belfast</t>
  </si>
  <si>
    <t>Secunda</t>
  </si>
  <si>
    <t>Bethal</t>
  </si>
  <si>
    <t>Clewer</t>
  </si>
  <si>
    <t>Delmas</t>
  </si>
  <si>
    <t>Vandyksdrift</t>
  </si>
  <si>
    <t>Ogies</t>
  </si>
  <si>
    <t>Emalahleni</t>
  </si>
  <si>
    <t>Embalenhle</t>
  </si>
  <si>
    <t>Sasolburg</t>
  </si>
  <si>
    <t>Leander</t>
  </si>
  <si>
    <t>Carolina</t>
  </si>
  <si>
    <t>Standerton</t>
  </si>
  <si>
    <t>Balmoral</t>
  </si>
  <si>
    <t>Pullens Hope</t>
  </si>
  <si>
    <t>Bronkhorstspruit</t>
  </si>
  <si>
    <t>Saul Mkhizeville</t>
  </si>
  <si>
    <t>Vereeniging</t>
  </si>
  <si>
    <t>Phola</t>
  </si>
  <si>
    <t>Nkangala</t>
  </si>
  <si>
    <t>Middleburg</t>
  </si>
  <si>
    <t>Gert Sibande</t>
  </si>
  <si>
    <t>Mpumalanga</t>
  </si>
  <si>
    <t>Gauteng</t>
  </si>
  <si>
    <t>Free State</t>
  </si>
  <si>
    <t>Limpopo</t>
  </si>
  <si>
    <t>Approximate</t>
  </si>
  <si>
    <t>Coal Plant</t>
  </si>
  <si>
    <t>Export / Domestic</t>
  </si>
  <si>
    <t>Terminal (Export)</t>
  </si>
  <si>
    <t>Domestic Market</t>
  </si>
  <si>
    <t>Other Industrial</t>
  </si>
  <si>
    <t>Richards Bay Coal Terminal</t>
  </si>
  <si>
    <t>Eskom</t>
  </si>
  <si>
    <t>Sasol Synfuels International</t>
  </si>
  <si>
    <t>Mine Size
(Km2)</t>
  </si>
  <si>
    <t>Mine Depth
(m)</t>
  </si>
  <si>
    <t>Reason for Closure</t>
  </si>
  <si>
    <t>Mine Site Status</t>
  </si>
  <si>
    <t>Bultfontein Colliery</t>
  </si>
  <si>
    <t>Chilwavhusiku Colliery</t>
  </si>
  <si>
    <t>Eerstelingsfontein (North Block Complex)</t>
  </si>
  <si>
    <t>Glisa Coal Mine (North Block Complex)</t>
  </si>
  <si>
    <t>Hakhano Colliery</t>
  </si>
  <si>
    <t>Hlagisa Colliery</t>
  </si>
  <si>
    <t>Inyanda Coal Mine</t>
  </si>
  <si>
    <t>Phalanndwa Colliery</t>
  </si>
  <si>
    <t>Witrand Coal Mine</t>
  </si>
  <si>
    <t>Witrand Colliery</t>
  </si>
  <si>
    <t>Universal Coal</t>
  </si>
  <si>
    <t>Canyon Coal</t>
  </si>
  <si>
    <t>Umcebo Mining</t>
  </si>
  <si>
    <t>Inyanda Mining Holdings (Pty) Ltd</t>
  </si>
  <si>
    <t>Makole Group</t>
  </si>
  <si>
    <t>End of mine life</t>
  </si>
  <si>
    <t>Reserve exhausted</t>
  </si>
  <si>
    <t>Rehabilitation</t>
  </si>
  <si>
    <t>Komati</t>
  </si>
  <si>
    <t>eMalahleni, Nkangala</t>
  </si>
  <si>
    <t>Macro-Financial Regional Outlook</t>
  </si>
  <si>
    <t>Eskom Decommissioning Nexus (Stranded Asset Risk)</t>
  </si>
  <si>
    <t>Reserves_Mt</t>
  </si>
  <si>
    <t>Primary_Offtaker</t>
  </si>
  <si>
    <t>Bank_Cutoff_Year</t>
  </si>
  <si>
    <t>Lending_Constraint_Trigger</t>
  </si>
  <si>
    <t>R30bn Carbon Tax Liability</t>
  </si>
  <si>
    <t>Investec Zero Exposure</t>
  </si>
  <si>
    <t>FirstRand New Shaft Ban</t>
  </si>
  <si>
    <t>Total_Jobs_At_Risk</t>
  </si>
  <si>
    <t>Capital_Premium_bps</t>
  </si>
  <si>
    <t>GLAA 0.5% Portfolio Cap</t>
  </si>
  <si>
    <t>GLAA Shrinkage</t>
  </si>
  <si>
    <t>Nedbank Zero Target</t>
  </si>
  <si>
    <t>Market_Type</t>
  </si>
  <si>
    <t>Logistics_Risk</t>
  </si>
  <si>
    <t>Export</t>
  </si>
  <si>
    <t>Critical (Transnet)</t>
  </si>
  <si>
    <t>Offtaker_ID</t>
  </si>
  <si>
    <t>ESG_Funding_Risk</t>
  </si>
  <si>
    <t>OFF_01</t>
  </si>
  <si>
    <t>Domestic</t>
  </si>
  <si>
    <t>Critical</t>
  </si>
  <si>
    <t>High</t>
  </si>
  <si>
    <t>OFF_02</t>
  </si>
  <si>
    <t>OFF_03</t>
  </si>
  <si>
    <t>OFF_04</t>
  </si>
  <si>
    <t>Medium</t>
  </si>
  <si>
    <t>OFF_05</t>
  </si>
  <si>
    <t>Low</t>
  </si>
  <si>
    <t>OFF_06</t>
  </si>
  <si>
    <t>OFF_07</t>
  </si>
  <si>
    <t>OFF_08</t>
  </si>
  <si>
    <t>OFF_09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</si>
</sst>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63D26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3D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Tethered Reserves by Eskom Station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Remaining Reserves (Mt)</c:v>
          </c:tx>
          <c:spPr>
            <a:solidFill>
              <a:srgbClr val="1F4E79"/>
            </a:solidFill>
          </c:spPr>
          <c:invertIfNegative val="0"/>
          <c:cat>
            <c:strRef>
              <c:f>'Summary &amp; Forecast'!$A$11:$A$18</c:f>
              <c:strCache>
                <c:ptCount val="8"/>
                <c:pt idx="0">
                  <c:v>Kendal Power Station</c:v>
                </c:pt>
                <c:pt idx="1">
                  <c:v>Duvha Power Station</c:v>
                </c:pt>
                <c:pt idx="2">
                  <c:v>Matla Power Station</c:v>
                </c:pt>
                <c:pt idx="3">
                  <c:v>Arnot Power Station</c:v>
                </c:pt>
                <c:pt idx="4">
                  <c:v>Tutuka Power Station</c:v>
                </c:pt>
                <c:pt idx="5">
                  <c:v>Kriel Power Station</c:v>
                </c:pt>
                <c:pt idx="6">
                  <c:v>Kusile Power Station</c:v>
                </c:pt>
                <c:pt idx="7">
                  <c:v>Lethabo Power Station</c:v>
                </c:pt>
              </c:strCache>
            </c:strRef>
          </c:cat>
          <c:val>
            <c:numRef>
              <c:f>'Summary &amp; Forecast'!$B$11:$B$18</c:f>
              <c:numCache>
                <c:formatCode>General</c:formatCode>
                <c:ptCount val="8"/>
                <c:pt idx="0">
                  <c:v>494</c:v>
                </c:pt>
                <c:pt idx="1">
                  <c:v>383</c:v>
                </c:pt>
                <c:pt idx="2">
                  <c:v>138</c:v>
                </c:pt>
                <c:pt idx="3">
                  <c:v>131</c:v>
                </c:pt>
                <c:pt idx="4">
                  <c:v>118</c:v>
                </c:pt>
                <c:pt idx="5">
                  <c:v>26</c:v>
                </c:pt>
                <c:pt idx="6">
                  <c:v>22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E-4BF9-8E73-3DBDD91C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Power Station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Megatonnes (Mt)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Workforce Displacement Risk Profile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Workforce Displacement</c:v>
          </c:tx>
          <c:cat>
            <c:strRef>
              <c:f>'Summary &amp; Forecast'!$A$11:$A$18</c:f>
              <c:strCache>
                <c:ptCount val="8"/>
                <c:pt idx="0">
                  <c:v>Kendal Power Station</c:v>
                </c:pt>
                <c:pt idx="1">
                  <c:v>Duvha Power Station</c:v>
                </c:pt>
                <c:pt idx="2">
                  <c:v>Matla Power Station</c:v>
                </c:pt>
                <c:pt idx="3">
                  <c:v>Arnot Power Station</c:v>
                </c:pt>
                <c:pt idx="4">
                  <c:v>Tutuka Power Station</c:v>
                </c:pt>
                <c:pt idx="5">
                  <c:v>Kriel Power Station</c:v>
                </c:pt>
                <c:pt idx="6">
                  <c:v>Kusile Power Station</c:v>
                </c:pt>
                <c:pt idx="7">
                  <c:v>Lethabo Power Station</c:v>
                </c:pt>
              </c:strCache>
            </c:strRef>
          </c:cat>
          <c:val>
            <c:numRef>
              <c:f>'Summary &amp; Forecast'!$D$11:$D$18</c:f>
              <c:numCache>
                <c:formatCode>General</c:formatCode>
                <c:ptCount val="8"/>
                <c:pt idx="0">
                  <c:v>4188</c:v>
                </c:pt>
                <c:pt idx="1">
                  <c:v>410</c:v>
                </c:pt>
                <c:pt idx="2">
                  <c:v>2865</c:v>
                </c:pt>
                <c:pt idx="3">
                  <c:v>2968</c:v>
                </c:pt>
                <c:pt idx="4">
                  <c:v>1376</c:v>
                </c:pt>
                <c:pt idx="5">
                  <c:v>864</c:v>
                </c:pt>
                <c:pt idx="6">
                  <c:v>1201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1-4ABF-8D26-7A49D6087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workbookViewId="0">
      <selection activeCell="E5" sqref="E5"/>
    </sheetView>
  </sheetViews>
  <sheetFormatPr defaultRowHeight="14.4" x14ac:dyDescent="0.3"/>
  <cols>
    <col min="1" max="1" width="40.6640625" customWidth="1"/>
    <col min="2" max="2" width="36.5546875" bestFit="1" customWidth="1"/>
    <col min="3" max="3" width="20.6640625" customWidth="1"/>
    <col min="4" max="4" width="13.6640625" bestFit="1" customWidth="1"/>
    <col min="5" max="5" width="28.44140625" bestFit="1" customWidth="1"/>
  </cols>
  <sheetData>
    <row r="2" spans="1:5" ht="21" x14ac:dyDescent="0.4">
      <c r="A2" s="1" t="s">
        <v>390</v>
      </c>
    </row>
    <row r="3" spans="1:5" x14ac:dyDescent="0.3">
      <c r="A3" s="2" t="s">
        <v>0</v>
      </c>
      <c r="B3" s="2" t="s">
        <v>1</v>
      </c>
    </row>
    <row r="4" spans="1:5" x14ac:dyDescent="0.3">
      <c r="A4" s="3" t="s">
        <v>2</v>
      </c>
      <c r="B4" s="3">
        <v>3858</v>
      </c>
    </row>
    <row r="5" spans="1:5" x14ac:dyDescent="0.3">
      <c r="A5" s="3" t="s">
        <v>3</v>
      </c>
      <c r="B5" s="3">
        <v>186.59200000000001</v>
      </c>
    </row>
    <row r="6" spans="1:5" x14ac:dyDescent="0.3">
      <c r="A6" s="3" t="s">
        <v>4</v>
      </c>
      <c r="B6" s="3">
        <v>20.68</v>
      </c>
    </row>
    <row r="7" spans="1:5" x14ac:dyDescent="0.3">
      <c r="A7" s="3" t="s">
        <v>5</v>
      </c>
      <c r="B7" s="3">
        <v>40037</v>
      </c>
    </row>
    <row r="9" spans="1:5" ht="21" x14ac:dyDescent="0.4">
      <c r="A9" s="1" t="s">
        <v>391</v>
      </c>
    </row>
    <row r="10" spans="1:5" x14ac:dyDescent="0.3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</row>
    <row r="11" spans="1:5" x14ac:dyDescent="0.3">
      <c r="A11" s="3" t="s">
        <v>11</v>
      </c>
      <c r="B11" s="3">
        <v>494</v>
      </c>
      <c r="C11" s="3">
        <v>21.19</v>
      </c>
      <c r="D11" s="3">
        <v>4188</v>
      </c>
      <c r="E11" s="3">
        <v>23.3</v>
      </c>
    </row>
    <row r="12" spans="1:5" x14ac:dyDescent="0.3">
      <c r="A12" s="3" t="s">
        <v>12</v>
      </c>
      <c r="B12" s="3">
        <v>383</v>
      </c>
      <c r="C12" s="3">
        <v>4.8099999999999996</v>
      </c>
      <c r="D12" s="3">
        <v>410</v>
      </c>
      <c r="E12" s="3">
        <v>79.599999999999994</v>
      </c>
    </row>
    <row r="13" spans="1:5" x14ac:dyDescent="0.3">
      <c r="A13" s="3" t="s">
        <v>13</v>
      </c>
      <c r="B13" s="3">
        <v>138</v>
      </c>
      <c r="C13" s="3">
        <v>7.27</v>
      </c>
      <c r="D13" s="3">
        <v>2865</v>
      </c>
      <c r="E13" s="3">
        <v>19</v>
      </c>
    </row>
    <row r="14" spans="1:5" x14ac:dyDescent="0.3">
      <c r="A14" s="3" t="s">
        <v>14</v>
      </c>
      <c r="B14" s="3">
        <v>131</v>
      </c>
      <c r="C14" s="3">
        <v>4</v>
      </c>
      <c r="D14" s="3">
        <v>2968</v>
      </c>
      <c r="E14" s="3">
        <v>32.799999999999997</v>
      </c>
    </row>
    <row r="15" spans="1:5" x14ac:dyDescent="0.3">
      <c r="A15" s="3" t="s">
        <v>15</v>
      </c>
      <c r="B15" s="3">
        <v>118</v>
      </c>
      <c r="C15" s="3">
        <v>4.3899999999999997</v>
      </c>
      <c r="D15" s="3">
        <v>1376</v>
      </c>
      <c r="E15" s="3">
        <v>26.9</v>
      </c>
    </row>
    <row r="16" spans="1:5" x14ac:dyDescent="0.3">
      <c r="A16" s="3" t="s">
        <v>16</v>
      </c>
      <c r="B16" s="3">
        <v>26</v>
      </c>
      <c r="C16" s="3">
        <v>4.01</v>
      </c>
      <c r="D16" s="3">
        <v>864</v>
      </c>
      <c r="E16" s="3">
        <v>6.5</v>
      </c>
    </row>
    <row r="17" spans="1:5" x14ac:dyDescent="0.3">
      <c r="A17" s="3" t="s">
        <v>17</v>
      </c>
      <c r="B17" s="3">
        <v>22</v>
      </c>
      <c r="C17" s="3">
        <v>4.63</v>
      </c>
      <c r="D17" s="3">
        <v>1201</v>
      </c>
      <c r="E17" s="3">
        <v>4.8</v>
      </c>
    </row>
    <row r="18" spans="1:5" x14ac:dyDescent="0.3">
      <c r="A18" s="3" t="s">
        <v>18</v>
      </c>
      <c r="B18" s="3">
        <v>0</v>
      </c>
      <c r="C18" s="3">
        <v>0</v>
      </c>
      <c r="D18" s="3">
        <v>0</v>
      </c>
      <c r="E18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E58A-11CB-47F4-89FD-E86A6BD50FEA}">
  <dimension ref="A1:E11"/>
  <sheetViews>
    <sheetView workbookViewId="0">
      <selection activeCell="B14" sqref="B14"/>
    </sheetView>
  </sheetViews>
  <sheetFormatPr defaultRowHeight="14.4" x14ac:dyDescent="0.3"/>
  <cols>
    <col min="1" max="1" width="27.6640625" bestFit="1" customWidth="1"/>
    <col min="2" max="2" width="11.77734375" bestFit="1" customWidth="1"/>
    <col min="3" max="3" width="23.6640625" bestFit="1" customWidth="1"/>
    <col min="4" max="4" width="16.33203125" bestFit="1" customWidth="1"/>
    <col min="5" max="5" width="24.44140625" bestFit="1" customWidth="1"/>
  </cols>
  <sheetData>
    <row r="1" spans="1:5" x14ac:dyDescent="0.3">
      <c r="A1" s="5" t="s">
        <v>19</v>
      </c>
      <c r="B1" s="5" t="s">
        <v>392</v>
      </c>
      <c r="C1" s="5" t="s">
        <v>393</v>
      </c>
      <c r="D1" s="5" t="s">
        <v>394</v>
      </c>
      <c r="E1" s="5" t="s">
        <v>395</v>
      </c>
    </row>
    <row r="2" spans="1:5" x14ac:dyDescent="0.3">
      <c r="A2" t="s">
        <v>120</v>
      </c>
      <c r="B2">
        <v>202</v>
      </c>
      <c r="C2" t="s">
        <v>365</v>
      </c>
      <c r="D2">
        <v>2028</v>
      </c>
      <c r="E2" t="s">
        <v>396</v>
      </c>
    </row>
    <row r="3" spans="1:5" x14ac:dyDescent="0.3">
      <c r="A3" t="s">
        <v>76</v>
      </c>
      <c r="B3">
        <v>192</v>
      </c>
      <c r="C3" t="s">
        <v>365</v>
      </c>
      <c r="D3">
        <v>2028</v>
      </c>
      <c r="E3" t="s">
        <v>396</v>
      </c>
    </row>
    <row r="4" spans="1:5" x14ac:dyDescent="0.3">
      <c r="A4" t="s">
        <v>92</v>
      </c>
      <c r="B4">
        <v>131</v>
      </c>
      <c r="C4" t="s">
        <v>13</v>
      </c>
      <c r="D4">
        <v>2030</v>
      </c>
      <c r="E4" t="s">
        <v>397</v>
      </c>
    </row>
    <row r="5" spans="1:5" x14ac:dyDescent="0.3">
      <c r="A5" t="s">
        <v>92</v>
      </c>
      <c r="B5">
        <v>131</v>
      </c>
      <c r="C5" t="s">
        <v>13</v>
      </c>
      <c r="D5">
        <v>2030</v>
      </c>
      <c r="E5" t="s">
        <v>397</v>
      </c>
    </row>
    <row r="6" spans="1:5" x14ac:dyDescent="0.3">
      <c r="A6" t="s">
        <v>115</v>
      </c>
      <c r="B6">
        <v>124</v>
      </c>
      <c r="C6" t="s">
        <v>365</v>
      </c>
      <c r="D6">
        <v>2028</v>
      </c>
      <c r="E6" t="s">
        <v>396</v>
      </c>
    </row>
    <row r="7" spans="1:5" x14ac:dyDescent="0.3">
      <c r="A7" t="s">
        <v>103</v>
      </c>
      <c r="B7">
        <v>114</v>
      </c>
      <c r="C7" t="s">
        <v>14</v>
      </c>
      <c r="D7">
        <v>2026</v>
      </c>
      <c r="E7" t="s">
        <v>398</v>
      </c>
    </row>
    <row r="8" spans="1:5" x14ac:dyDescent="0.3">
      <c r="A8" t="s">
        <v>86</v>
      </c>
      <c r="B8">
        <v>26</v>
      </c>
      <c r="C8" t="s">
        <v>16</v>
      </c>
      <c r="D8">
        <v>2030</v>
      </c>
      <c r="E8" t="s">
        <v>397</v>
      </c>
    </row>
    <row r="9" spans="1:5" x14ac:dyDescent="0.3">
      <c r="A9" t="s">
        <v>130</v>
      </c>
      <c r="B9">
        <v>17</v>
      </c>
      <c r="C9" t="s">
        <v>14</v>
      </c>
      <c r="D9">
        <v>2026</v>
      </c>
      <c r="E9" t="s">
        <v>398</v>
      </c>
    </row>
    <row r="10" spans="1:5" x14ac:dyDescent="0.3">
      <c r="A10" t="s">
        <v>104</v>
      </c>
      <c r="B10">
        <v>7</v>
      </c>
      <c r="C10" t="s">
        <v>13</v>
      </c>
      <c r="D10">
        <v>2030</v>
      </c>
      <c r="E10" t="s">
        <v>397</v>
      </c>
    </row>
    <row r="11" spans="1:5" x14ac:dyDescent="0.3">
      <c r="A11" t="s">
        <v>78</v>
      </c>
      <c r="B11">
        <v>4</v>
      </c>
      <c r="C11" t="s">
        <v>365</v>
      </c>
      <c r="D11">
        <v>2028</v>
      </c>
      <c r="E11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C5A9-DFDC-4A59-A9B6-F741351F14DC}">
  <dimension ref="A1:D10"/>
  <sheetViews>
    <sheetView workbookViewId="0">
      <selection activeCell="D10" sqref="D10"/>
    </sheetView>
  </sheetViews>
  <sheetFormatPr defaultRowHeight="14.4" x14ac:dyDescent="0.3"/>
  <cols>
    <col min="1" max="1" width="23.6640625" bestFit="1" customWidth="1"/>
    <col min="2" max="2" width="17.33203125" bestFit="1" customWidth="1"/>
    <col min="3" max="3" width="19.6640625" bestFit="1" customWidth="1"/>
    <col min="4" max="4" width="24.44140625" bestFit="1" customWidth="1"/>
  </cols>
  <sheetData>
    <row r="1" spans="1:4" x14ac:dyDescent="0.3">
      <c r="A1" s="5" t="s">
        <v>393</v>
      </c>
      <c r="B1" s="5" t="s">
        <v>399</v>
      </c>
      <c r="C1" s="5" t="s">
        <v>400</v>
      </c>
      <c r="D1" s="5" t="s">
        <v>395</v>
      </c>
    </row>
    <row r="2" spans="1:4" x14ac:dyDescent="0.3">
      <c r="A2" t="s">
        <v>365</v>
      </c>
      <c r="B2">
        <v>4999</v>
      </c>
      <c r="C2">
        <v>800</v>
      </c>
      <c r="D2" t="s">
        <v>396</v>
      </c>
    </row>
    <row r="3" spans="1:4" x14ac:dyDescent="0.3">
      <c r="A3" t="s">
        <v>14</v>
      </c>
      <c r="B3">
        <v>2968</v>
      </c>
      <c r="C3">
        <v>600</v>
      </c>
      <c r="D3" t="s">
        <v>398</v>
      </c>
    </row>
    <row r="4" spans="1:4" x14ac:dyDescent="0.3">
      <c r="A4" t="s">
        <v>16</v>
      </c>
      <c r="B4">
        <v>864</v>
      </c>
      <c r="C4">
        <v>600</v>
      </c>
      <c r="D4" t="s">
        <v>397</v>
      </c>
    </row>
    <row r="5" spans="1:4" x14ac:dyDescent="0.3">
      <c r="A5" t="s">
        <v>13</v>
      </c>
      <c r="B5">
        <v>2865</v>
      </c>
      <c r="C5">
        <v>600</v>
      </c>
      <c r="D5" t="s">
        <v>397</v>
      </c>
    </row>
    <row r="6" spans="1:4" x14ac:dyDescent="0.3">
      <c r="A6" t="s">
        <v>12</v>
      </c>
      <c r="B6">
        <v>410</v>
      </c>
      <c r="C6">
        <v>450</v>
      </c>
      <c r="D6" t="s">
        <v>401</v>
      </c>
    </row>
    <row r="7" spans="1:4" x14ac:dyDescent="0.3">
      <c r="A7" t="s">
        <v>15</v>
      </c>
      <c r="B7">
        <v>1376</v>
      </c>
      <c r="C7">
        <v>400</v>
      </c>
      <c r="D7" t="s">
        <v>402</v>
      </c>
    </row>
    <row r="8" spans="1:4" x14ac:dyDescent="0.3">
      <c r="A8" t="s">
        <v>363</v>
      </c>
      <c r="B8">
        <v>4838</v>
      </c>
      <c r="C8">
        <v>250</v>
      </c>
      <c r="D8" t="s">
        <v>403</v>
      </c>
    </row>
    <row r="9" spans="1:4" x14ac:dyDescent="0.3">
      <c r="A9" t="s">
        <v>11</v>
      </c>
      <c r="B9">
        <v>4188</v>
      </c>
      <c r="C9">
        <v>200</v>
      </c>
      <c r="D9" t="s">
        <v>402</v>
      </c>
    </row>
    <row r="10" spans="1:4" x14ac:dyDescent="0.3">
      <c r="A10" t="s">
        <v>17</v>
      </c>
      <c r="B10">
        <v>1201</v>
      </c>
      <c r="C10">
        <v>200</v>
      </c>
      <c r="D10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D1DE-AEB2-42B8-BE81-858970889EC9}">
  <dimension ref="A1:D17"/>
  <sheetViews>
    <sheetView workbookViewId="0">
      <selection activeCell="A20" sqref="A20"/>
    </sheetView>
  </sheetViews>
  <sheetFormatPr defaultRowHeight="14.4" x14ac:dyDescent="0.3"/>
  <cols>
    <col min="1" max="1" width="25.21875" bestFit="1" customWidth="1"/>
    <col min="2" max="2" width="16.77734375" bestFit="1" customWidth="1"/>
    <col min="3" max="3" width="12.21875" bestFit="1" customWidth="1"/>
    <col min="4" max="4" width="15.44140625" bestFit="1" customWidth="1"/>
  </cols>
  <sheetData>
    <row r="1" spans="1:4" x14ac:dyDescent="0.3">
      <c r="A1" s="5" t="s">
        <v>19</v>
      </c>
      <c r="B1" s="5" t="s">
        <v>8</v>
      </c>
      <c r="C1" s="5" t="s">
        <v>404</v>
      </c>
      <c r="D1" s="5" t="s">
        <v>405</v>
      </c>
    </row>
    <row r="2" spans="1:4" x14ac:dyDescent="0.3">
      <c r="A2" t="s">
        <v>60</v>
      </c>
      <c r="B2">
        <v>3.9</v>
      </c>
      <c r="C2" t="s">
        <v>406</v>
      </c>
      <c r="D2" t="s">
        <v>407</v>
      </c>
    </row>
    <row r="3" spans="1:4" x14ac:dyDescent="0.3">
      <c r="A3" t="s">
        <v>60</v>
      </c>
      <c r="B3">
        <v>3.9</v>
      </c>
      <c r="C3" t="s">
        <v>406</v>
      </c>
      <c r="D3" t="s">
        <v>407</v>
      </c>
    </row>
    <row r="4" spans="1:4" x14ac:dyDescent="0.3">
      <c r="A4" t="s">
        <v>61</v>
      </c>
      <c r="B4">
        <v>1.5</v>
      </c>
      <c r="C4" t="s">
        <v>406</v>
      </c>
      <c r="D4" t="s">
        <v>407</v>
      </c>
    </row>
    <row r="5" spans="1:4" x14ac:dyDescent="0.3">
      <c r="A5" t="s">
        <v>71</v>
      </c>
      <c r="B5">
        <v>2.6</v>
      </c>
      <c r="C5" t="s">
        <v>406</v>
      </c>
      <c r="D5" t="s">
        <v>407</v>
      </c>
    </row>
    <row r="6" spans="1:4" x14ac:dyDescent="0.3">
      <c r="A6" t="s">
        <v>74</v>
      </c>
      <c r="B6">
        <v>2.2999999999999998</v>
      </c>
      <c r="C6" t="s">
        <v>406</v>
      </c>
      <c r="D6" t="s">
        <v>407</v>
      </c>
    </row>
    <row r="7" spans="1:4" x14ac:dyDescent="0.3">
      <c r="A7" t="s">
        <v>80</v>
      </c>
      <c r="B7">
        <v>2.67</v>
      </c>
      <c r="C7" t="s">
        <v>406</v>
      </c>
      <c r="D7" t="s">
        <v>407</v>
      </c>
    </row>
    <row r="8" spans="1:4" x14ac:dyDescent="0.3">
      <c r="A8" t="s">
        <v>83</v>
      </c>
      <c r="B8">
        <v>0</v>
      </c>
      <c r="C8" t="s">
        <v>406</v>
      </c>
      <c r="D8" t="s">
        <v>407</v>
      </c>
    </row>
    <row r="9" spans="1:4" x14ac:dyDescent="0.3">
      <c r="A9" t="s">
        <v>83</v>
      </c>
      <c r="B9">
        <v>0</v>
      </c>
      <c r="C9" t="s">
        <v>406</v>
      </c>
      <c r="D9" t="s">
        <v>407</v>
      </c>
    </row>
    <row r="10" spans="1:4" x14ac:dyDescent="0.3">
      <c r="A10" t="s">
        <v>83</v>
      </c>
      <c r="B10">
        <v>2</v>
      </c>
      <c r="C10" t="s">
        <v>406</v>
      </c>
      <c r="D10" t="s">
        <v>407</v>
      </c>
    </row>
    <row r="11" spans="1:4" x14ac:dyDescent="0.3">
      <c r="A11" t="s">
        <v>83</v>
      </c>
      <c r="B11">
        <v>2</v>
      </c>
      <c r="C11" t="s">
        <v>406</v>
      </c>
      <c r="D11" t="s">
        <v>407</v>
      </c>
    </row>
    <row r="12" spans="1:4" x14ac:dyDescent="0.3">
      <c r="A12" t="s">
        <v>85</v>
      </c>
      <c r="B12">
        <v>3</v>
      </c>
      <c r="C12" t="s">
        <v>406</v>
      </c>
      <c r="D12" t="s">
        <v>407</v>
      </c>
    </row>
    <row r="13" spans="1:4" x14ac:dyDescent="0.3">
      <c r="A13" t="s">
        <v>90</v>
      </c>
      <c r="B13">
        <v>1.8</v>
      </c>
      <c r="C13" t="s">
        <v>406</v>
      </c>
      <c r="D13" t="s">
        <v>407</v>
      </c>
    </row>
    <row r="14" spans="1:4" x14ac:dyDescent="0.3">
      <c r="A14" t="s">
        <v>101</v>
      </c>
      <c r="B14">
        <v>1.45</v>
      </c>
      <c r="C14" t="s">
        <v>406</v>
      </c>
      <c r="D14" t="s">
        <v>407</v>
      </c>
    </row>
    <row r="15" spans="1:4" x14ac:dyDescent="0.3">
      <c r="A15" t="s">
        <v>109</v>
      </c>
      <c r="B15">
        <v>2</v>
      </c>
      <c r="C15" t="s">
        <v>406</v>
      </c>
      <c r="D15" t="s">
        <v>407</v>
      </c>
    </row>
    <row r="16" spans="1:4" x14ac:dyDescent="0.3">
      <c r="A16" t="s">
        <v>129</v>
      </c>
      <c r="B16">
        <v>0</v>
      </c>
      <c r="C16" t="s">
        <v>406</v>
      </c>
      <c r="D16" t="s">
        <v>407</v>
      </c>
    </row>
    <row r="17" spans="1:4" x14ac:dyDescent="0.3">
      <c r="A17" t="s">
        <v>131</v>
      </c>
      <c r="B17">
        <v>4.5</v>
      </c>
      <c r="C17" t="s">
        <v>406</v>
      </c>
      <c r="D17" t="s">
        <v>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C264-3133-42B0-9E4C-E17C9500228D}">
  <dimension ref="A1:H10"/>
  <sheetViews>
    <sheetView workbookViewId="0">
      <selection activeCell="E11" sqref="E11"/>
    </sheetView>
  </sheetViews>
  <sheetFormatPr defaultRowHeight="14.4" x14ac:dyDescent="0.3"/>
  <cols>
    <col min="1" max="1" width="10.77734375" bestFit="1" customWidth="1"/>
    <col min="2" max="2" width="23.6640625" bestFit="1" customWidth="1"/>
    <col min="3" max="3" width="12.21875" bestFit="1" customWidth="1"/>
    <col min="4" max="4" width="16.44140625" bestFit="1" customWidth="1"/>
    <col min="5" max="5" width="16.33203125" bestFit="1" customWidth="1"/>
    <col min="6" max="6" width="24.44140625" bestFit="1" customWidth="1"/>
    <col min="7" max="7" width="19.6640625" bestFit="1" customWidth="1"/>
    <col min="8" max="8" width="15.44140625" bestFit="1" customWidth="1"/>
  </cols>
  <sheetData>
    <row r="1" spans="1:8" x14ac:dyDescent="0.3">
      <c r="A1" s="5" t="s">
        <v>408</v>
      </c>
      <c r="B1" s="5" t="s">
        <v>393</v>
      </c>
      <c r="C1" s="5" t="s">
        <v>404</v>
      </c>
      <c r="D1" s="5" t="s">
        <v>409</v>
      </c>
      <c r="E1" s="5" t="s">
        <v>394</v>
      </c>
      <c r="F1" s="5" t="s">
        <v>395</v>
      </c>
      <c r="G1" s="5" t="s">
        <v>400</v>
      </c>
      <c r="H1" s="5" t="s">
        <v>405</v>
      </c>
    </row>
    <row r="2" spans="1:8" x14ac:dyDescent="0.3">
      <c r="A2" t="s">
        <v>410</v>
      </c>
      <c r="B2" t="s">
        <v>14</v>
      </c>
      <c r="C2" t="s">
        <v>411</v>
      </c>
      <c r="D2" s="7" t="s">
        <v>412</v>
      </c>
      <c r="E2" s="7">
        <v>2026</v>
      </c>
      <c r="F2" t="s">
        <v>398</v>
      </c>
      <c r="G2">
        <v>600</v>
      </c>
      <c r="H2" t="s">
        <v>413</v>
      </c>
    </row>
    <row r="3" spans="1:8" x14ac:dyDescent="0.3">
      <c r="A3" t="s">
        <v>414</v>
      </c>
      <c r="B3" t="s">
        <v>16</v>
      </c>
      <c r="C3" t="s">
        <v>411</v>
      </c>
      <c r="D3" s="7" t="s">
        <v>412</v>
      </c>
      <c r="E3" s="7">
        <v>2030</v>
      </c>
      <c r="F3" t="s">
        <v>397</v>
      </c>
      <c r="G3">
        <v>600</v>
      </c>
      <c r="H3" t="s">
        <v>413</v>
      </c>
    </row>
    <row r="4" spans="1:8" x14ac:dyDescent="0.3">
      <c r="A4" t="s">
        <v>415</v>
      </c>
      <c r="B4" t="s">
        <v>13</v>
      </c>
      <c r="C4" t="s">
        <v>411</v>
      </c>
      <c r="D4" s="7" t="s">
        <v>412</v>
      </c>
      <c r="E4" s="7">
        <v>2030</v>
      </c>
      <c r="F4" t="s">
        <v>397</v>
      </c>
      <c r="G4">
        <v>600</v>
      </c>
      <c r="H4" t="s">
        <v>413</v>
      </c>
    </row>
    <row r="5" spans="1:8" x14ac:dyDescent="0.3">
      <c r="A5" t="s">
        <v>416</v>
      </c>
      <c r="B5" t="s">
        <v>12</v>
      </c>
      <c r="C5" t="s">
        <v>411</v>
      </c>
      <c r="D5" s="8" t="s">
        <v>413</v>
      </c>
      <c r="E5" s="7">
        <v>2030</v>
      </c>
      <c r="F5" t="s">
        <v>401</v>
      </c>
      <c r="G5">
        <v>450</v>
      </c>
      <c r="H5" t="s">
        <v>417</v>
      </c>
    </row>
    <row r="6" spans="1:8" x14ac:dyDescent="0.3">
      <c r="A6" t="s">
        <v>418</v>
      </c>
      <c r="B6" t="s">
        <v>365</v>
      </c>
      <c r="C6" t="s">
        <v>411</v>
      </c>
      <c r="D6" s="7" t="s">
        <v>412</v>
      </c>
      <c r="E6" s="7">
        <v>2028</v>
      </c>
      <c r="F6" t="s">
        <v>396</v>
      </c>
      <c r="G6">
        <v>800</v>
      </c>
      <c r="H6" t="s">
        <v>419</v>
      </c>
    </row>
    <row r="7" spans="1:8" x14ac:dyDescent="0.3">
      <c r="A7" t="s">
        <v>420</v>
      </c>
      <c r="B7" t="s">
        <v>363</v>
      </c>
      <c r="C7" t="s">
        <v>406</v>
      </c>
      <c r="D7" s="9" t="s">
        <v>417</v>
      </c>
      <c r="E7">
        <v>2045</v>
      </c>
      <c r="F7" t="s">
        <v>403</v>
      </c>
      <c r="G7">
        <v>250</v>
      </c>
      <c r="H7" t="s">
        <v>407</v>
      </c>
    </row>
    <row r="8" spans="1:8" x14ac:dyDescent="0.3">
      <c r="A8" t="s">
        <v>421</v>
      </c>
      <c r="B8" t="s">
        <v>11</v>
      </c>
      <c r="C8" t="s">
        <v>411</v>
      </c>
      <c r="D8" s="9" t="s">
        <v>417</v>
      </c>
      <c r="E8">
        <v>2035</v>
      </c>
      <c r="F8" t="s">
        <v>402</v>
      </c>
      <c r="G8">
        <v>200</v>
      </c>
      <c r="H8" t="s">
        <v>419</v>
      </c>
    </row>
    <row r="9" spans="1:8" x14ac:dyDescent="0.3">
      <c r="A9" t="s">
        <v>422</v>
      </c>
      <c r="B9" t="s">
        <v>17</v>
      </c>
      <c r="C9" t="s">
        <v>411</v>
      </c>
      <c r="D9" s="9" t="s">
        <v>417</v>
      </c>
      <c r="E9">
        <v>2045</v>
      </c>
      <c r="F9" t="s">
        <v>403</v>
      </c>
      <c r="G9">
        <v>200</v>
      </c>
      <c r="H9" t="s">
        <v>419</v>
      </c>
    </row>
    <row r="10" spans="1:8" x14ac:dyDescent="0.3">
      <c r="A10" t="s">
        <v>423</v>
      </c>
      <c r="B10" t="s">
        <v>15</v>
      </c>
      <c r="C10" t="s">
        <v>411</v>
      </c>
      <c r="D10" s="8" t="s">
        <v>413</v>
      </c>
      <c r="E10">
        <v>2035</v>
      </c>
      <c r="F10" t="s">
        <v>402</v>
      </c>
      <c r="G10">
        <v>400</v>
      </c>
      <c r="H10" t="s">
        <v>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82"/>
  <sheetViews>
    <sheetView workbookViewId="0">
      <pane xSplit="1" topLeftCell="AI1" activePane="topRight" state="frozen"/>
      <selection pane="topRight" activeCell="Y6" sqref="Y6"/>
    </sheetView>
  </sheetViews>
  <sheetFormatPr defaultRowHeight="14.4" x14ac:dyDescent="0.3"/>
  <cols>
    <col min="1" max="1" width="29.21875" bestFit="1" customWidth="1"/>
    <col min="2" max="2" width="103.21875" bestFit="1" customWidth="1"/>
    <col min="3" max="3" width="23.6640625" bestFit="1" customWidth="1"/>
    <col min="4" max="4" width="10.33203125" bestFit="1" customWidth="1"/>
    <col min="5" max="5" width="19.5546875" bestFit="1" customWidth="1"/>
    <col min="6" max="6" width="12.77734375" bestFit="1" customWidth="1"/>
    <col min="7" max="7" width="12" bestFit="1" customWidth="1"/>
    <col min="8" max="8" width="49.88671875" bestFit="1" customWidth="1"/>
    <col min="9" max="9" width="255.77734375" bestFit="1" customWidth="1"/>
    <col min="10" max="10" width="22" bestFit="1" customWidth="1"/>
    <col min="12" max="13" width="16.77734375" bestFit="1" customWidth="1"/>
    <col min="14" max="14" width="23.44140625" bestFit="1" customWidth="1"/>
    <col min="15" max="15" width="20.21875" bestFit="1" customWidth="1"/>
    <col min="16" max="16" width="14.21875" bestFit="1" customWidth="1"/>
    <col min="17" max="17" width="14.6640625" bestFit="1" customWidth="1"/>
    <col min="18" max="18" width="14.44140625" bestFit="1" customWidth="1"/>
    <col min="19" max="19" width="14.33203125" bestFit="1" customWidth="1"/>
    <col min="20" max="20" width="13.6640625" bestFit="1" customWidth="1"/>
    <col min="21" max="21" width="18.21875" bestFit="1" customWidth="1"/>
    <col min="22" max="22" width="12.88671875" bestFit="1" customWidth="1"/>
    <col min="23" max="23" width="13.33203125" bestFit="1" customWidth="1"/>
    <col min="25" max="25" width="24.44140625" bestFit="1" customWidth="1"/>
    <col min="26" max="26" width="17.77734375" bestFit="1" customWidth="1"/>
    <col min="27" max="27" width="36.5546875" bestFit="1" customWidth="1"/>
    <col min="28" max="28" width="28.21875" bestFit="1" customWidth="1"/>
    <col min="29" max="29" width="41" bestFit="1" customWidth="1"/>
    <col min="31" max="31" width="12.21875" bestFit="1" customWidth="1"/>
    <col min="32" max="32" width="11.109375" bestFit="1" customWidth="1"/>
    <col min="33" max="33" width="19.44140625" bestFit="1" customWidth="1"/>
    <col min="34" max="34" width="23.6640625" bestFit="1" customWidth="1"/>
    <col min="37" max="37" width="16.6640625" bestFit="1" customWidth="1"/>
    <col min="38" max="38" width="11.5546875" bestFit="1" customWidth="1"/>
    <col min="39" max="39" width="16.44140625" bestFit="1" customWidth="1"/>
    <col min="40" max="40" width="27.5546875" bestFit="1" customWidth="1"/>
    <col min="41" max="41" width="33.109375" bestFit="1" customWidth="1"/>
  </cols>
  <sheetData>
    <row r="1" spans="1:44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8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9</v>
      </c>
      <c r="U1" s="6" t="s">
        <v>37</v>
      </c>
      <c r="V1" s="6" t="s">
        <v>38</v>
      </c>
      <c r="W1" s="6" t="s">
        <v>39</v>
      </c>
      <c r="X1" s="6" t="s">
        <v>40</v>
      </c>
      <c r="Y1" s="6" t="s">
        <v>41</v>
      </c>
      <c r="Z1" s="6" t="s">
        <v>42</v>
      </c>
      <c r="AA1" s="6" t="s">
        <v>7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6</v>
      </c>
      <c r="AP1" s="4"/>
      <c r="AQ1" s="4"/>
      <c r="AR1" s="4"/>
    </row>
    <row r="2" spans="1:44" x14ac:dyDescent="0.3">
      <c r="A2" s="10" t="s">
        <v>56</v>
      </c>
      <c r="D2" t="s">
        <v>186</v>
      </c>
      <c r="E2" t="s">
        <v>191</v>
      </c>
      <c r="F2" t="s">
        <v>196</v>
      </c>
      <c r="H2" t="s">
        <v>201</v>
      </c>
      <c r="I2" t="s">
        <v>253</v>
      </c>
      <c r="J2" t="s">
        <v>299</v>
      </c>
      <c r="K2">
        <v>5</v>
      </c>
      <c r="L2">
        <v>0</v>
      </c>
      <c r="O2" t="s">
        <v>310</v>
      </c>
      <c r="P2" t="s">
        <v>313</v>
      </c>
      <c r="Q2">
        <v>107</v>
      </c>
      <c r="R2">
        <v>60</v>
      </c>
      <c r="S2" t="s">
        <v>319</v>
      </c>
      <c r="T2">
        <v>0</v>
      </c>
      <c r="V2" t="s">
        <v>321</v>
      </c>
      <c r="W2" t="s">
        <v>323</v>
      </c>
      <c r="AA2">
        <v>123</v>
      </c>
      <c r="AB2">
        <v>2025</v>
      </c>
      <c r="AC2">
        <v>498</v>
      </c>
      <c r="AE2">
        <v>2025</v>
      </c>
      <c r="AG2">
        <v>13</v>
      </c>
      <c r="AI2" t="s">
        <v>327</v>
      </c>
      <c r="AJ2" t="s">
        <v>329</v>
      </c>
      <c r="AK2" t="s">
        <v>350</v>
      </c>
      <c r="AL2" t="s">
        <v>353</v>
      </c>
      <c r="AM2" t="s">
        <v>320</v>
      </c>
    </row>
    <row r="3" spans="1:44" x14ac:dyDescent="0.3">
      <c r="A3" s="10" t="s">
        <v>57</v>
      </c>
      <c r="B3" t="s">
        <v>133</v>
      </c>
      <c r="D3" t="s">
        <v>187</v>
      </c>
      <c r="E3" t="s">
        <v>192</v>
      </c>
      <c r="F3" t="s">
        <v>196</v>
      </c>
      <c r="H3" t="s">
        <v>202</v>
      </c>
      <c r="I3" t="s">
        <v>254</v>
      </c>
      <c r="J3" t="s">
        <v>299</v>
      </c>
      <c r="K3">
        <v>10</v>
      </c>
      <c r="L3">
        <v>0</v>
      </c>
      <c r="O3" t="s">
        <v>311</v>
      </c>
      <c r="P3" t="s">
        <v>314</v>
      </c>
      <c r="R3">
        <v>50</v>
      </c>
      <c r="S3" t="s">
        <v>319</v>
      </c>
      <c r="T3">
        <v>0</v>
      </c>
      <c r="V3" t="s">
        <v>322</v>
      </c>
      <c r="W3" t="s">
        <v>323</v>
      </c>
      <c r="AA3">
        <v>25</v>
      </c>
      <c r="AB3">
        <v>2023</v>
      </c>
      <c r="AC3">
        <v>29</v>
      </c>
      <c r="AG3">
        <v>5</v>
      </c>
      <c r="AL3" t="s">
        <v>353</v>
      </c>
      <c r="AM3" t="s">
        <v>320</v>
      </c>
    </row>
    <row r="4" spans="1:44" x14ac:dyDescent="0.3">
      <c r="A4" s="10" t="s">
        <v>58</v>
      </c>
      <c r="B4" t="s">
        <v>134</v>
      </c>
      <c r="D4" t="s">
        <v>188</v>
      </c>
      <c r="E4" t="s">
        <v>193</v>
      </c>
      <c r="H4" t="s">
        <v>203</v>
      </c>
      <c r="I4" t="s">
        <v>255</v>
      </c>
      <c r="J4" t="s">
        <v>299</v>
      </c>
      <c r="L4">
        <v>0.5</v>
      </c>
      <c r="M4">
        <v>2023</v>
      </c>
      <c r="O4" t="s">
        <v>312</v>
      </c>
      <c r="P4" t="s">
        <v>315</v>
      </c>
      <c r="Q4">
        <v>164</v>
      </c>
      <c r="R4">
        <v>60</v>
      </c>
      <c r="S4" t="s">
        <v>319</v>
      </c>
      <c r="T4">
        <v>0</v>
      </c>
      <c r="V4" t="s">
        <v>321</v>
      </c>
      <c r="W4" t="s">
        <v>323</v>
      </c>
      <c r="AA4">
        <v>0</v>
      </c>
      <c r="AC4">
        <v>190</v>
      </c>
      <c r="AE4">
        <v>1971</v>
      </c>
      <c r="AJ4" t="s">
        <v>330</v>
      </c>
      <c r="AK4" t="s">
        <v>350</v>
      </c>
      <c r="AL4" t="s">
        <v>353</v>
      </c>
      <c r="AM4" t="s">
        <v>320</v>
      </c>
      <c r="AN4" t="s">
        <v>358</v>
      </c>
      <c r="AO4" t="s">
        <v>14</v>
      </c>
    </row>
    <row r="5" spans="1:44" x14ac:dyDescent="0.3">
      <c r="A5" s="10" t="s">
        <v>59</v>
      </c>
      <c r="D5" t="s">
        <v>186</v>
      </c>
      <c r="E5" t="s">
        <v>191</v>
      </c>
      <c r="F5" t="s">
        <v>196</v>
      </c>
      <c r="H5" t="s">
        <v>204</v>
      </c>
      <c r="I5" t="s">
        <v>256</v>
      </c>
      <c r="J5" t="s">
        <v>300</v>
      </c>
      <c r="L5">
        <v>0</v>
      </c>
      <c r="O5" t="s">
        <v>311</v>
      </c>
      <c r="P5" t="s">
        <v>314</v>
      </c>
      <c r="Q5">
        <v>155.32</v>
      </c>
      <c r="R5">
        <v>50</v>
      </c>
      <c r="S5" t="s">
        <v>319</v>
      </c>
      <c r="T5">
        <v>0</v>
      </c>
      <c r="V5" t="s">
        <v>322</v>
      </c>
      <c r="W5" t="s">
        <v>323</v>
      </c>
      <c r="AA5">
        <v>0</v>
      </c>
      <c r="AC5">
        <v>207</v>
      </c>
      <c r="AG5">
        <v>17</v>
      </c>
      <c r="AI5" t="s">
        <v>327</v>
      </c>
      <c r="AL5" t="s">
        <v>353</v>
      </c>
      <c r="AM5" t="s">
        <v>357</v>
      </c>
    </row>
    <row r="6" spans="1:44" x14ac:dyDescent="0.3">
      <c r="A6" s="10" t="s">
        <v>60</v>
      </c>
      <c r="B6" t="s">
        <v>135</v>
      </c>
      <c r="D6" t="s">
        <v>187</v>
      </c>
      <c r="E6" t="s">
        <v>191</v>
      </c>
      <c r="F6" t="s">
        <v>197</v>
      </c>
      <c r="H6" t="s">
        <v>205</v>
      </c>
      <c r="I6" t="s">
        <v>257</v>
      </c>
      <c r="J6" t="s">
        <v>299</v>
      </c>
      <c r="L6">
        <v>0</v>
      </c>
      <c r="O6" t="s">
        <v>312</v>
      </c>
      <c r="P6" t="s">
        <v>315</v>
      </c>
      <c r="R6">
        <v>60</v>
      </c>
      <c r="S6" t="s">
        <v>319</v>
      </c>
      <c r="T6">
        <v>0</v>
      </c>
      <c r="V6" t="s">
        <v>322</v>
      </c>
      <c r="W6" t="s">
        <v>323</v>
      </c>
      <c r="AA6">
        <v>80</v>
      </c>
      <c r="AI6" t="s">
        <v>327</v>
      </c>
      <c r="AJ6" t="s">
        <v>331</v>
      </c>
      <c r="AK6" t="s">
        <v>350</v>
      </c>
      <c r="AL6" t="s">
        <v>353</v>
      </c>
      <c r="AM6" t="s">
        <v>320</v>
      </c>
      <c r="AN6" t="s">
        <v>359</v>
      </c>
    </row>
    <row r="7" spans="1:44" x14ac:dyDescent="0.3">
      <c r="A7" s="10" t="s">
        <v>60</v>
      </c>
      <c r="B7" t="s">
        <v>136</v>
      </c>
      <c r="D7" t="s">
        <v>189</v>
      </c>
      <c r="H7" t="s">
        <v>205</v>
      </c>
      <c r="I7" t="s">
        <v>257</v>
      </c>
      <c r="J7" t="s">
        <v>299</v>
      </c>
      <c r="L7">
        <v>3.9</v>
      </c>
      <c r="M7">
        <v>2024</v>
      </c>
      <c r="O7" t="s">
        <v>311</v>
      </c>
      <c r="P7" t="s">
        <v>314</v>
      </c>
      <c r="Q7">
        <v>58.18</v>
      </c>
      <c r="R7">
        <v>50</v>
      </c>
      <c r="S7" t="s">
        <v>319</v>
      </c>
      <c r="T7">
        <v>427</v>
      </c>
      <c r="U7" t="s">
        <v>319</v>
      </c>
      <c r="V7" t="s">
        <v>322</v>
      </c>
      <c r="W7" t="s">
        <v>323</v>
      </c>
      <c r="AA7">
        <v>29</v>
      </c>
      <c r="AB7">
        <v>2024</v>
      </c>
      <c r="AC7">
        <v>102</v>
      </c>
      <c r="AD7">
        <v>8</v>
      </c>
      <c r="AE7">
        <v>2019</v>
      </c>
      <c r="AG7">
        <v>9</v>
      </c>
      <c r="AH7">
        <v>2024</v>
      </c>
      <c r="AI7" t="s">
        <v>327</v>
      </c>
      <c r="AJ7" t="s">
        <v>331</v>
      </c>
      <c r="AK7" t="s">
        <v>350</v>
      </c>
      <c r="AL7" t="s">
        <v>353</v>
      </c>
      <c r="AM7" t="s">
        <v>320</v>
      </c>
      <c r="AN7" t="s">
        <v>359</v>
      </c>
      <c r="AO7" t="s">
        <v>363</v>
      </c>
    </row>
    <row r="8" spans="1:44" x14ac:dyDescent="0.3">
      <c r="A8" s="10" t="s">
        <v>61</v>
      </c>
      <c r="D8" t="s">
        <v>189</v>
      </c>
      <c r="H8" t="s">
        <v>206</v>
      </c>
      <c r="I8" t="s">
        <v>258</v>
      </c>
      <c r="J8" t="s">
        <v>301</v>
      </c>
      <c r="L8">
        <v>1.5</v>
      </c>
      <c r="M8">
        <v>2024</v>
      </c>
      <c r="O8" t="s">
        <v>311</v>
      </c>
      <c r="P8" t="s">
        <v>314</v>
      </c>
      <c r="Q8">
        <v>12.1</v>
      </c>
      <c r="R8">
        <v>80</v>
      </c>
      <c r="S8" t="s">
        <v>320</v>
      </c>
      <c r="T8">
        <v>378</v>
      </c>
      <c r="U8" t="s">
        <v>319</v>
      </c>
      <c r="V8" t="s">
        <v>321</v>
      </c>
      <c r="W8" t="s">
        <v>323</v>
      </c>
      <c r="AA8">
        <v>0</v>
      </c>
      <c r="AG8">
        <v>5</v>
      </c>
      <c r="AI8" t="s">
        <v>327</v>
      </c>
      <c r="AJ8" t="s">
        <v>330</v>
      </c>
      <c r="AL8" t="s">
        <v>353</v>
      </c>
      <c r="AM8" t="s">
        <v>320</v>
      </c>
      <c r="AN8" t="s">
        <v>360</v>
      </c>
      <c r="AO8" t="s">
        <v>363</v>
      </c>
    </row>
    <row r="9" spans="1:44" x14ac:dyDescent="0.3">
      <c r="A9" s="10" t="s">
        <v>62</v>
      </c>
      <c r="B9" t="s">
        <v>137</v>
      </c>
      <c r="C9" t="s">
        <v>182</v>
      </c>
      <c r="D9" t="s">
        <v>189</v>
      </c>
      <c r="H9" t="s">
        <v>201</v>
      </c>
      <c r="I9" t="s">
        <v>253</v>
      </c>
      <c r="J9" t="s">
        <v>299</v>
      </c>
      <c r="L9">
        <v>4.0999999999999996</v>
      </c>
      <c r="M9">
        <v>2025</v>
      </c>
      <c r="O9" t="s">
        <v>310</v>
      </c>
      <c r="P9" t="s">
        <v>313</v>
      </c>
      <c r="R9">
        <v>80</v>
      </c>
      <c r="S9" t="s">
        <v>319</v>
      </c>
      <c r="T9">
        <v>634</v>
      </c>
      <c r="U9" t="s">
        <v>319</v>
      </c>
      <c r="V9" t="s">
        <v>321</v>
      </c>
      <c r="W9" t="s">
        <v>323</v>
      </c>
      <c r="AA9">
        <v>39</v>
      </c>
      <c r="AB9">
        <v>2025</v>
      </c>
      <c r="AC9">
        <v>127</v>
      </c>
      <c r="AD9">
        <v>10</v>
      </c>
      <c r="AE9">
        <v>1977</v>
      </c>
      <c r="AG9">
        <v>11</v>
      </c>
      <c r="AI9" t="s">
        <v>328</v>
      </c>
      <c r="AJ9" t="s">
        <v>332</v>
      </c>
      <c r="AL9" t="s">
        <v>353</v>
      </c>
      <c r="AM9" t="s">
        <v>320</v>
      </c>
      <c r="AN9" t="s">
        <v>361</v>
      </c>
    </row>
    <row r="10" spans="1:44" x14ac:dyDescent="0.3">
      <c r="A10" s="10" t="s">
        <v>63</v>
      </c>
      <c r="B10" t="s">
        <v>138</v>
      </c>
      <c r="C10" t="s">
        <v>183</v>
      </c>
      <c r="D10" t="s">
        <v>189</v>
      </c>
      <c r="H10" t="s">
        <v>207</v>
      </c>
      <c r="I10" t="s">
        <v>259</v>
      </c>
      <c r="J10" t="s">
        <v>299</v>
      </c>
      <c r="L10">
        <v>0</v>
      </c>
      <c r="O10" t="s">
        <v>312</v>
      </c>
      <c r="P10" t="s">
        <v>315</v>
      </c>
      <c r="Q10">
        <v>78.92</v>
      </c>
      <c r="R10">
        <v>60</v>
      </c>
      <c r="S10" t="s">
        <v>319</v>
      </c>
      <c r="T10">
        <v>0</v>
      </c>
      <c r="V10" t="s">
        <v>321</v>
      </c>
      <c r="W10" t="s">
        <v>323</v>
      </c>
      <c r="AA10">
        <v>88</v>
      </c>
      <c r="AB10">
        <v>2019</v>
      </c>
      <c r="AC10">
        <v>337</v>
      </c>
      <c r="AG10">
        <v>15</v>
      </c>
      <c r="AI10" t="s">
        <v>327</v>
      </c>
      <c r="AJ10" t="s">
        <v>333</v>
      </c>
      <c r="AK10" t="s">
        <v>350</v>
      </c>
      <c r="AL10" t="s">
        <v>353</v>
      </c>
      <c r="AM10" t="s">
        <v>320</v>
      </c>
      <c r="AN10" t="s">
        <v>360</v>
      </c>
    </row>
    <row r="11" spans="1:44" x14ac:dyDescent="0.3">
      <c r="A11" s="10" t="s">
        <v>64</v>
      </c>
      <c r="D11" t="s">
        <v>188</v>
      </c>
      <c r="H11" t="s">
        <v>208</v>
      </c>
      <c r="I11" t="s">
        <v>260</v>
      </c>
      <c r="J11" t="s">
        <v>299</v>
      </c>
      <c r="K11">
        <v>10</v>
      </c>
      <c r="L11">
        <v>0</v>
      </c>
      <c r="O11" t="s">
        <v>311</v>
      </c>
      <c r="P11" t="s">
        <v>314</v>
      </c>
      <c r="R11">
        <v>60</v>
      </c>
      <c r="S11" t="s">
        <v>319</v>
      </c>
      <c r="T11">
        <v>0</v>
      </c>
      <c r="V11" t="s">
        <v>321</v>
      </c>
      <c r="W11" t="s">
        <v>324</v>
      </c>
      <c r="X11">
        <v>50</v>
      </c>
      <c r="Y11">
        <v>50</v>
      </c>
      <c r="Z11" t="s">
        <v>325</v>
      </c>
      <c r="AA11">
        <v>0</v>
      </c>
      <c r="AI11" t="s">
        <v>327</v>
      </c>
      <c r="AK11" t="s">
        <v>342</v>
      </c>
      <c r="AL11" t="s">
        <v>353</v>
      </c>
      <c r="AM11" t="s">
        <v>357</v>
      </c>
    </row>
    <row r="12" spans="1:44" x14ac:dyDescent="0.3">
      <c r="A12" s="10" t="s">
        <v>65</v>
      </c>
      <c r="D12" t="s">
        <v>186</v>
      </c>
      <c r="E12" t="s">
        <v>191</v>
      </c>
      <c r="F12" t="s">
        <v>197</v>
      </c>
      <c r="H12" t="s">
        <v>209</v>
      </c>
      <c r="I12" t="s">
        <v>261</v>
      </c>
      <c r="J12" t="s">
        <v>302</v>
      </c>
      <c r="L12">
        <v>0</v>
      </c>
      <c r="O12" t="s">
        <v>312</v>
      </c>
      <c r="P12" t="s">
        <v>315</v>
      </c>
      <c r="R12">
        <v>60</v>
      </c>
      <c r="S12" t="s">
        <v>319</v>
      </c>
      <c r="T12">
        <v>0</v>
      </c>
      <c r="V12" t="s">
        <v>321</v>
      </c>
      <c r="W12" t="s">
        <v>323</v>
      </c>
      <c r="AA12">
        <v>0</v>
      </c>
      <c r="AI12" t="s">
        <v>327</v>
      </c>
      <c r="AJ12" t="s">
        <v>334</v>
      </c>
      <c r="AK12" t="s">
        <v>350</v>
      </c>
      <c r="AL12" t="s">
        <v>353</v>
      </c>
      <c r="AM12" t="s">
        <v>320</v>
      </c>
      <c r="AN12" t="s">
        <v>360</v>
      </c>
    </row>
    <row r="13" spans="1:44" x14ac:dyDescent="0.3">
      <c r="A13" s="10" t="s">
        <v>65</v>
      </c>
      <c r="D13" t="s">
        <v>189</v>
      </c>
      <c r="H13" t="s">
        <v>209</v>
      </c>
      <c r="I13" t="s">
        <v>261</v>
      </c>
      <c r="J13" t="s">
        <v>302</v>
      </c>
      <c r="L13">
        <v>0.18</v>
      </c>
      <c r="M13">
        <v>2020</v>
      </c>
      <c r="O13" t="s">
        <v>312</v>
      </c>
      <c r="P13" t="s">
        <v>315</v>
      </c>
      <c r="Q13">
        <v>8.3000000000000007</v>
      </c>
      <c r="R13">
        <v>60</v>
      </c>
      <c r="S13" t="s">
        <v>319</v>
      </c>
      <c r="T13">
        <v>366</v>
      </c>
      <c r="U13" t="s">
        <v>319</v>
      </c>
      <c r="V13" t="s">
        <v>321</v>
      </c>
      <c r="W13" t="s">
        <v>323</v>
      </c>
      <c r="AA13">
        <v>7</v>
      </c>
      <c r="AC13">
        <v>8</v>
      </c>
      <c r="AD13">
        <v>40</v>
      </c>
      <c r="AG13">
        <v>12</v>
      </c>
      <c r="AI13" t="s">
        <v>327</v>
      </c>
      <c r="AJ13" t="s">
        <v>334</v>
      </c>
      <c r="AK13" t="s">
        <v>350</v>
      </c>
      <c r="AL13" t="s">
        <v>353</v>
      </c>
      <c r="AM13" t="s">
        <v>320</v>
      </c>
      <c r="AN13" t="s">
        <v>360</v>
      </c>
    </row>
    <row r="14" spans="1:44" x14ac:dyDescent="0.3">
      <c r="A14" s="10" t="s">
        <v>66</v>
      </c>
      <c r="B14" t="s">
        <v>139</v>
      </c>
      <c r="D14" t="s">
        <v>189</v>
      </c>
      <c r="H14" t="s">
        <v>210</v>
      </c>
      <c r="I14" t="s">
        <v>262</v>
      </c>
      <c r="J14" t="s">
        <v>299</v>
      </c>
      <c r="K14">
        <v>3.18</v>
      </c>
      <c r="L14">
        <v>1.92</v>
      </c>
      <c r="M14">
        <v>2023</v>
      </c>
      <c r="O14" t="s">
        <v>312</v>
      </c>
      <c r="P14" t="s">
        <v>315</v>
      </c>
      <c r="Q14">
        <v>5.38</v>
      </c>
      <c r="R14">
        <v>60</v>
      </c>
      <c r="S14" t="s">
        <v>319</v>
      </c>
      <c r="T14">
        <v>515</v>
      </c>
      <c r="U14" t="s">
        <v>320</v>
      </c>
      <c r="V14" t="s">
        <v>321</v>
      </c>
      <c r="W14" t="s">
        <v>323</v>
      </c>
      <c r="AA14">
        <v>6</v>
      </c>
      <c r="AB14">
        <v>2024</v>
      </c>
      <c r="AC14">
        <v>8</v>
      </c>
      <c r="AD14">
        <v>3</v>
      </c>
      <c r="AE14">
        <v>2015</v>
      </c>
      <c r="AG14">
        <v>2</v>
      </c>
      <c r="AH14">
        <v>2024</v>
      </c>
      <c r="AK14" t="s">
        <v>351</v>
      </c>
      <c r="AL14" t="s">
        <v>353</v>
      </c>
      <c r="AM14" t="s">
        <v>320</v>
      </c>
      <c r="AN14" t="s">
        <v>358</v>
      </c>
      <c r="AO14" t="s">
        <v>364</v>
      </c>
    </row>
    <row r="15" spans="1:44" x14ac:dyDescent="0.3">
      <c r="A15" s="10" t="s">
        <v>67</v>
      </c>
      <c r="B15" t="s">
        <v>140</v>
      </c>
      <c r="D15" t="s">
        <v>186</v>
      </c>
      <c r="E15" t="s">
        <v>194</v>
      </c>
      <c r="F15" t="s">
        <v>197</v>
      </c>
      <c r="H15" t="s">
        <v>211</v>
      </c>
      <c r="I15" t="s">
        <v>263</v>
      </c>
      <c r="J15" t="s">
        <v>303</v>
      </c>
      <c r="K15">
        <v>2.6</v>
      </c>
      <c r="L15">
        <v>0</v>
      </c>
      <c r="O15" t="s">
        <v>311</v>
      </c>
      <c r="P15" t="s">
        <v>314</v>
      </c>
      <c r="Q15">
        <v>81.680000000000007</v>
      </c>
      <c r="R15">
        <v>37</v>
      </c>
      <c r="S15" t="s">
        <v>320</v>
      </c>
      <c r="T15">
        <v>691</v>
      </c>
      <c r="U15" t="s">
        <v>320</v>
      </c>
      <c r="V15" t="s">
        <v>321</v>
      </c>
      <c r="W15" t="s">
        <v>323</v>
      </c>
      <c r="AA15">
        <v>0</v>
      </c>
      <c r="AC15">
        <v>695</v>
      </c>
      <c r="AG15">
        <v>10</v>
      </c>
      <c r="AH15">
        <v>2024</v>
      </c>
      <c r="AI15" t="s">
        <v>327</v>
      </c>
      <c r="AJ15" t="s">
        <v>335</v>
      </c>
      <c r="AK15" t="s">
        <v>350</v>
      </c>
      <c r="AL15" t="s">
        <v>353</v>
      </c>
      <c r="AM15" t="s">
        <v>357</v>
      </c>
      <c r="AN15" t="s">
        <v>358</v>
      </c>
      <c r="AO15" t="s">
        <v>364</v>
      </c>
    </row>
    <row r="16" spans="1:44" x14ac:dyDescent="0.3">
      <c r="A16" s="10" t="s">
        <v>68</v>
      </c>
      <c r="D16" t="s">
        <v>188</v>
      </c>
      <c r="E16" t="s">
        <v>193</v>
      </c>
      <c r="H16" t="s">
        <v>212</v>
      </c>
      <c r="I16" t="s">
        <v>264</v>
      </c>
      <c r="J16" t="s">
        <v>299</v>
      </c>
      <c r="L16">
        <v>1.38</v>
      </c>
      <c r="O16" t="s">
        <v>311</v>
      </c>
      <c r="P16" t="s">
        <v>314</v>
      </c>
      <c r="R16">
        <v>60</v>
      </c>
      <c r="S16" t="s">
        <v>319</v>
      </c>
      <c r="T16">
        <v>416</v>
      </c>
      <c r="U16" t="s">
        <v>319</v>
      </c>
      <c r="V16" t="s">
        <v>321</v>
      </c>
      <c r="W16" t="s">
        <v>323</v>
      </c>
      <c r="AA16">
        <v>0</v>
      </c>
      <c r="AI16" t="s">
        <v>328</v>
      </c>
      <c r="AJ16" t="s">
        <v>329</v>
      </c>
      <c r="AK16" t="s">
        <v>350</v>
      </c>
      <c r="AL16" t="s">
        <v>353</v>
      </c>
      <c r="AM16" t="s">
        <v>320</v>
      </c>
      <c r="AN16" t="s">
        <v>358</v>
      </c>
      <c r="AO16" t="s">
        <v>364</v>
      </c>
    </row>
    <row r="17" spans="1:41" x14ac:dyDescent="0.3">
      <c r="A17" s="10" t="s">
        <v>69</v>
      </c>
      <c r="B17" t="s">
        <v>141</v>
      </c>
      <c r="C17" t="s">
        <v>183</v>
      </c>
      <c r="D17" t="s">
        <v>189</v>
      </c>
      <c r="H17" t="s">
        <v>207</v>
      </c>
      <c r="I17" t="s">
        <v>259</v>
      </c>
      <c r="J17" t="s">
        <v>299</v>
      </c>
      <c r="L17">
        <v>1.8</v>
      </c>
      <c r="M17">
        <v>2021</v>
      </c>
      <c r="O17" t="s">
        <v>312</v>
      </c>
      <c r="P17" t="s">
        <v>315</v>
      </c>
      <c r="Q17">
        <v>121.13</v>
      </c>
      <c r="R17">
        <v>60</v>
      </c>
      <c r="S17" t="s">
        <v>319</v>
      </c>
      <c r="T17">
        <v>335</v>
      </c>
      <c r="U17" t="s">
        <v>319</v>
      </c>
      <c r="V17" t="s">
        <v>321</v>
      </c>
      <c r="W17" t="s">
        <v>323</v>
      </c>
      <c r="AA17">
        <v>35</v>
      </c>
      <c r="AB17">
        <v>2019</v>
      </c>
      <c r="AC17">
        <v>148</v>
      </c>
      <c r="AD17">
        <v>19</v>
      </c>
      <c r="AE17">
        <v>1994</v>
      </c>
      <c r="AI17" t="s">
        <v>327</v>
      </c>
      <c r="AJ17" t="s">
        <v>333</v>
      </c>
      <c r="AK17" t="s">
        <v>351</v>
      </c>
      <c r="AL17" t="s">
        <v>353</v>
      </c>
      <c r="AM17" t="s">
        <v>320</v>
      </c>
    </row>
    <row r="18" spans="1:41" x14ac:dyDescent="0.3">
      <c r="A18" s="10" t="s">
        <v>70</v>
      </c>
      <c r="B18" t="s">
        <v>142</v>
      </c>
      <c r="D18" t="s">
        <v>186</v>
      </c>
      <c r="E18" t="s">
        <v>194</v>
      </c>
      <c r="F18" t="s">
        <v>196</v>
      </c>
      <c r="H18" t="s">
        <v>213</v>
      </c>
      <c r="I18" t="s">
        <v>265</v>
      </c>
      <c r="J18" t="s">
        <v>299</v>
      </c>
      <c r="K18">
        <v>1.5</v>
      </c>
      <c r="L18">
        <v>0</v>
      </c>
      <c r="O18" t="s">
        <v>310</v>
      </c>
      <c r="R18">
        <v>80</v>
      </c>
      <c r="S18" t="s">
        <v>319</v>
      </c>
      <c r="T18">
        <v>0</v>
      </c>
      <c r="V18" t="s">
        <v>321</v>
      </c>
      <c r="W18" t="s">
        <v>323</v>
      </c>
      <c r="AA18">
        <v>0</v>
      </c>
      <c r="AE18">
        <v>2025</v>
      </c>
      <c r="AG18">
        <v>20</v>
      </c>
      <c r="AI18" t="s">
        <v>328</v>
      </c>
      <c r="AJ18" t="s">
        <v>333</v>
      </c>
      <c r="AK18" t="s">
        <v>352</v>
      </c>
      <c r="AL18" t="s">
        <v>353</v>
      </c>
      <c r="AM18" t="s">
        <v>320</v>
      </c>
    </row>
    <row r="19" spans="1:41" x14ac:dyDescent="0.3">
      <c r="A19" s="10" t="s">
        <v>71</v>
      </c>
      <c r="B19" t="s">
        <v>143</v>
      </c>
      <c r="D19" t="s">
        <v>188</v>
      </c>
      <c r="E19" t="s">
        <v>193</v>
      </c>
      <c r="H19" t="s">
        <v>214</v>
      </c>
      <c r="I19" t="s">
        <v>266</v>
      </c>
      <c r="J19" t="s">
        <v>304</v>
      </c>
      <c r="L19">
        <v>2.6</v>
      </c>
      <c r="M19">
        <v>2025</v>
      </c>
      <c r="O19" t="s">
        <v>310</v>
      </c>
      <c r="P19" t="s">
        <v>313</v>
      </c>
      <c r="R19">
        <v>80</v>
      </c>
      <c r="S19" t="s">
        <v>319</v>
      </c>
      <c r="T19">
        <v>451</v>
      </c>
      <c r="U19" t="s">
        <v>319</v>
      </c>
      <c r="V19" t="s">
        <v>321</v>
      </c>
      <c r="W19" t="s">
        <v>323</v>
      </c>
      <c r="AA19">
        <v>0</v>
      </c>
      <c r="AB19">
        <v>2025</v>
      </c>
      <c r="AC19">
        <v>246</v>
      </c>
      <c r="AD19">
        <v>0</v>
      </c>
      <c r="AE19">
        <v>1983</v>
      </c>
      <c r="AF19">
        <v>2026</v>
      </c>
      <c r="AI19" t="s">
        <v>327</v>
      </c>
      <c r="AJ19" t="s">
        <v>336</v>
      </c>
      <c r="AK19" t="s">
        <v>350</v>
      </c>
      <c r="AL19" t="s">
        <v>353</v>
      </c>
      <c r="AM19" t="s">
        <v>320</v>
      </c>
      <c r="AN19" t="s">
        <v>360</v>
      </c>
      <c r="AO19" t="s">
        <v>363</v>
      </c>
    </row>
    <row r="20" spans="1:41" x14ac:dyDescent="0.3">
      <c r="A20" s="10" t="s">
        <v>72</v>
      </c>
      <c r="D20" t="s">
        <v>189</v>
      </c>
      <c r="H20" t="s">
        <v>215</v>
      </c>
      <c r="I20" t="s">
        <v>267</v>
      </c>
      <c r="J20" t="s">
        <v>305</v>
      </c>
      <c r="L20">
        <v>11.7</v>
      </c>
      <c r="M20">
        <v>2024</v>
      </c>
      <c r="O20" t="s">
        <v>311</v>
      </c>
      <c r="P20" t="s">
        <v>314</v>
      </c>
      <c r="R20">
        <v>60</v>
      </c>
      <c r="S20" t="s">
        <v>319</v>
      </c>
      <c r="T20">
        <v>350</v>
      </c>
      <c r="U20" t="s">
        <v>320</v>
      </c>
      <c r="V20" t="s">
        <v>321</v>
      </c>
      <c r="W20" t="s">
        <v>323</v>
      </c>
      <c r="AA20">
        <v>240</v>
      </c>
      <c r="AB20">
        <v>2023</v>
      </c>
      <c r="AC20">
        <v>450</v>
      </c>
      <c r="AD20">
        <v>21</v>
      </c>
      <c r="AE20">
        <v>2004</v>
      </c>
      <c r="AG20">
        <v>20</v>
      </c>
      <c r="AI20" t="s">
        <v>327</v>
      </c>
      <c r="AJ20" t="s">
        <v>337</v>
      </c>
      <c r="AK20" t="s">
        <v>350</v>
      </c>
      <c r="AL20" t="s">
        <v>353</v>
      </c>
      <c r="AM20" t="s">
        <v>320</v>
      </c>
    </row>
    <row r="21" spans="1:41" x14ac:dyDescent="0.3">
      <c r="A21" s="10" t="s">
        <v>73</v>
      </c>
      <c r="C21" t="s">
        <v>184</v>
      </c>
      <c r="D21" t="s">
        <v>188</v>
      </c>
      <c r="H21" t="s">
        <v>216</v>
      </c>
      <c r="I21" t="s">
        <v>268</v>
      </c>
      <c r="J21" t="s">
        <v>306</v>
      </c>
      <c r="L21">
        <v>0</v>
      </c>
      <c r="O21" t="s">
        <v>311</v>
      </c>
      <c r="P21" t="s">
        <v>314</v>
      </c>
      <c r="R21">
        <v>60</v>
      </c>
      <c r="S21" t="s">
        <v>319</v>
      </c>
      <c r="T21">
        <v>674</v>
      </c>
      <c r="U21" t="s">
        <v>319</v>
      </c>
      <c r="V21" t="s">
        <v>321</v>
      </c>
      <c r="W21" t="s">
        <v>323</v>
      </c>
      <c r="AA21">
        <v>0</v>
      </c>
      <c r="AK21" t="s">
        <v>350</v>
      </c>
      <c r="AL21" t="s">
        <v>353</v>
      </c>
      <c r="AM21" t="s">
        <v>320</v>
      </c>
    </row>
    <row r="22" spans="1:41" x14ac:dyDescent="0.3">
      <c r="A22" s="10" t="s">
        <v>74</v>
      </c>
      <c r="D22" t="s">
        <v>189</v>
      </c>
      <c r="H22" t="s">
        <v>217</v>
      </c>
      <c r="I22" t="s">
        <v>269</v>
      </c>
      <c r="J22" t="s">
        <v>301</v>
      </c>
      <c r="L22">
        <v>2.2999999999999998</v>
      </c>
      <c r="M22">
        <v>2025</v>
      </c>
      <c r="O22" t="s">
        <v>310</v>
      </c>
      <c r="P22" t="s">
        <v>313</v>
      </c>
      <c r="R22">
        <v>80</v>
      </c>
      <c r="S22" t="s">
        <v>319</v>
      </c>
      <c r="T22">
        <v>383</v>
      </c>
      <c r="U22" t="s">
        <v>319</v>
      </c>
      <c r="V22" t="s">
        <v>321</v>
      </c>
      <c r="W22" t="s">
        <v>323</v>
      </c>
      <c r="AA22">
        <v>11</v>
      </c>
      <c r="AB22">
        <v>2024</v>
      </c>
      <c r="AC22">
        <v>12</v>
      </c>
      <c r="AD22">
        <v>5</v>
      </c>
      <c r="AF22">
        <v>2027</v>
      </c>
      <c r="AG22">
        <v>4</v>
      </c>
      <c r="AH22">
        <v>2024</v>
      </c>
      <c r="AI22" t="s">
        <v>327</v>
      </c>
      <c r="AJ22" t="s">
        <v>338</v>
      </c>
      <c r="AK22" t="s">
        <v>350</v>
      </c>
      <c r="AL22" t="s">
        <v>353</v>
      </c>
      <c r="AM22" t="s">
        <v>320</v>
      </c>
      <c r="AN22" t="s">
        <v>360</v>
      </c>
      <c r="AO22" t="s">
        <v>363</v>
      </c>
    </row>
    <row r="23" spans="1:41" x14ac:dyDescent="0.3">
      <c r="A23" s="10" t="s">
        <v>75</v>
      </c>
      <c r="D23" t="s">
        <v>188</v>
      </c>
      <c r="H23" t="s">
        <v>218</v>
      </c>
      <c r="I23" t="s">
        <v>270</v>
      </c>
      <c r="J23" t="s">
        <v>299</v>
      </c>
      <c r="L23">
        <v>0.22</v>
      </c>
      <c r="M23">
        <v>2019</v>
      </c>
      <c r="O23" t="s">
        <v>311</v>
      </c>
      <c r="P23" t="s">
        <v>314</v>
      </c>
      <c r="R23">
        <v>60</v>
      </c>
      <c r="S23" t="s">
        <v>319</v>
      </c>
      <c r="T23">
        <v>0</v>
      </c>
      <c r="V23" t="s">
        <v>321</v>
      </c>
      <c r="W23" t="s">
        <v>323</v>
      </c>
      <c r="AA23">
        <v>0</v>
      </c>
      <c r="AE23">
        <v>2004</v>
      </c>
      <c r="AI23" t="s">
        <v>328</v>
      </c>
      <c r="AJ23" t="s">
        <v>333</v>
      </c>
      <c r="AK23" t="s">
        <v>352</v>
      </c>
      <c r="AL23" t="s">
        <v>353</v>
      </c>
      <c r="AM23" t="s">
        <v>320</v>
      </c>
      <c r="AN23" t="s">
        <v>358</v>
      </c>
      <c r="AO23" t="s">
        <v>13</v>
      </c>
    </row>
    <row r="24" spans="1:41" x14ac:dyDescent="0.3">
      <c r="A24" s="10" t="s">
        <v>76</v>
      </c>
      <c r="B24" t="s">
        <v>144</v>
      </c>
      <c r="C24" t="s">
        <v>182</v>
      </c>
      <c r="D24" t="s">
        <v>189</v>
      </c>
      <c r="H24" t="s">
        <v>201</v>
      </c>
      <c r="I24" t="s">
        <v>253</v>
      </c>
      <c r="J24" t="s">
        <v>299</v>
      </c>
      <c r="K24">
        <v>6</v>
      </c>
      <c r="L24">
        <v>3.8</v>
      </c>
      <c r="M24">
        <v>2025</v>
      </c>
      <c r="O24" t="s">
        <v>310</v>
      </c>
      <c r="P24" t="s">
        <v>313</v>
      </c>
      <c r="Q24">
        <v>210</v>
      </c>
      <c r="R24">
        <v>198</v>
      </c>
      <c r="S24" t="s">
        <v>320</v>
      </c>
      <c r="T24">
        <v>1760</v>
      </c>
      <c r="U24" t="s">
        <v>320</v>
      </c>
      <c r="V24" t="s">
        <v>321</v>
      </c>
      <c r="W24" t="s">
        <v>323</v>
      </c>
      <c r="AA24">
        <v>192</v>
      </c>
      <c r="AB24">
        <v>2025</v>
      </c>
      <c r="AC24">
        <v>657</v>
      </c>
      <c r="AD24">
        <v>51</v>
      </c>
      <c r="AE24">
        <v>2019</v>
      </c>
      <c r="AG24">
        <v>30</v>
      </c>
      <c r="AI24" t="s">
        <v>328</v>
      </c>
      <c r="AJ24" t="s">
        <v>339</v>
      </c>
      <c r="AK24" t="s">
        <v>352</v>
      </c>
      <c r="AL24" t="s">
        <v>353</v>
      </c>
      <c r="AM24" t="s">
        <v>320</v>
      </c>
      <c r="AN24" t="s">
        <v>362</v>
      </c>
      <c r="AO24" t="s">
        <v>365</v>
      </c>
    </row>
    <row r="25" spans="1:41" x14ac:dyDescent="0.3">
      <c r="A25" s="10" t="s">
        <v>77</v>
      </c>
      <c r="B25" t="s">
        <v>145</v>
      </c>
      <c r="D25" t="s">
        <v>189</v>
      </c>
      <c r="H25" t="s">
        <v>219</v>
      </c>
      <c r="I25" t="s">
        <v>271</v>
      </c>
      <c r="J25" t="s">
        <v>305</v>
      </c>
      <c r="L25">
        <v>7.9</v>
      </c>
      <c r="M25">
        <v>2024</v>
      </c>
      <c r="O25" t="s">
        <v>312</v>
      </c>
      <c r="P25" t="s">
        <v>315</v>
      </c>
      <c r="R25">
        <v>60</v>
      </c>
      <c r="S25" t="s">
        <v>319</v>
      </c>
      <c r="T25">
        <v>1013</v>
      </c>
      <c r="U25" t="s">
        <v>319</v>
      </c>
      <c r="V25" t="s">
        <v>321</v>
      </c>
      <c r="W25" t="s">
        <v>323</v>
      </c>
      <c r="AA25">
        <v>78</v>
      </c>
      <c r="AB25">
        <v>2023</v>
      </c>
      <c r="AC25">
        <v>321</v>
      </c>
      <c r="AD25">
        <v>10</v>
      </c>
      <c r="AE25">
        <v>2010</v>
      </c>
      <c r="AG25">
        <v>10</v>
      </c>
      <c r="AI25" t="s">
        <v>327</v>
      </c>
      <c r="AJ25" t="s">
        <v>329</v>
      </c>
      <c r="AK25" t="s">
        <v>350</v>
      </c>
      <c r="AL25" t="s">
        <v>353</v>
      </c>
      <c r="AM25" t="s">
        <v>320</v>
      </c>
    </row>
    <row r="26" spans="1:41" x14ac:dyDescent="0.3">
      <c r="A26" s="10" t="s">
        <v>78</v>
      </c>
      <c r="D26" t="s">
        <v>188</v>
      </c>
      <c r="E26" t="s">
        <v>193</v>
      </c>
      <c r="H26" t="s">
        <v>217</v>
      </c>
      <c r="I26" t="s">
        <v>269</v>
      </c>
      <c r="J26" t="s">
        <v>301</v>
      </c>
      <c r="L26">
        <v>4.1900000000000004</v>
      </c>
      <c r="M26">
        <v>2024</v>
      </c>
      <c r="O26" t="s">
        <v>311</v>
      </c>
      <c r="P26" t="s">
        <v>314</v>
      </c>
      <c r="R26">
        <v>60</v>
      </c>
      <c r="S26" t="s">
        <v>319</v>
      </c>
      <c r="T26">
        <v>360</v>
      </c>
      <c r="U26" t="s">
        <v>319</v>
      </c>
      <c r="V26" t="s">
        <v>321</v>
      </c>
      <c r="W26" t="s">
        <v>323</v>
      </c>
      <c r="AA26">
        <v>4</v>
      </c>
      <c r="AB26">
        <v>2024</v>
      </c>
      <c r="AC26">
        <v>15</v>
      </c>
      <c r="AD26">
        <v>1</v>
      </c>
      <c r="AE26">
        <v>2005</v>
      </c>
      <c r="AG26">
        <v>1</v>
      </c>
      <c r="AH26">
        <v>2024</v>
      </c>
      <c r="AI26" t="s">
        <v>328</v>
      </c>
      <c r="AJ26" t="s">
        <v>333</v>
      </c>
      <c r="AK26" t="s">
        <v>352</v>
      </c>
      <c r="AL26" t="s">
        <v>353</v>
      </c>
      <c r="AM26" t="s">
        <v>320</v>
      </c>
      <c r="AN26" t="s">
        <v>362</v>
      </c>
      <c r="AO26" t="s">
        <v>365</v>
      </c>
    </row>
    <row r="27" spans="1:41" x14ac:dyDescent="0.3">
      <c r="A27" s="10" t="s">
        <v>79</v>
      </c>
      <c r="B27" t="s">
        <v>146</v>
      </c>
      <c r="D27" t="s">
        <v>189</v>
      </c>
      <c r="H27" t="s">
        <v>220</v>
      </c>
      <c r="I27" t="s">
        <v>272</v>
      </c>
      <c r="J27" t="s">
        <v>299</v>
      </c>
      <c r="L27">
        <v>6</v>
      </c>
      <c r="O27" t="s">
        <v>311</v>
      </c>
      <c r="R27">
        <v>60</v>
      </c>
      <c r="S27" t="s">
        <v>319</v>
      </c>
      <c r="T27">
        <v>1000</v>
      </c>
      <c r="U27" t="s">
        <v>320</v>
      </c>
      <c r="V27" t="s">
        <v>321</v>
      </c>
      <c r="W27" t="s">
        <v>323</v>
      </c>
      <c r="AA27">
        <v>0</v>
      </c>
      <c r="AI27" t="s">
        <v>327</v>
      </c>
      <c r="AK27" t="s">
        <v>350</v>
      </c>
      <c r="AL27" t="s">
        <v>353</v>
      </c>
      <c r="AM27" t="s">
        <v>320</v>
      </c>
    </row>
    <row r="28" spans="1:41" x14ac:dyDescent="0.3">
      <c r="A28" s="10" t="s">
        <v>80</v>
      </c>
      <c r="B28" t="s">
        <v>147</v>
      </c>
      <c r="D28" t="s">
        <v>189</v>
      </c>
      <c r="H28" t="s">
        <v>213</v>
      </c>
      <c r="I28" t="s">
        <v>265</v>
      </c>
      <c r="J28" t="s">
        <v>299</v>
      </c>
      <c r="K28">
        <v>2.1</v>
      </c>
      <c r="L28">
        <v>2.67</v>
      </c>
      <c r="M28">
        <v>2023</v>
      </c>
      <c r="O28" t="s">
        <v>311</v>
      </c>
      <c r="P28" t="s">
        <v>314</v>
      </c>
      <c r="R28">
        <v>60</v>
      </c>
      <c r="S28" t="s">
        <v>319</v>
      </c>
      <c r="T28">
        <v>431</v>
      </c>
      <c r="U28" t="s">
        <v>319</v>
      </c>
      <c r="V28" t="s">
        <v>321</v>
      </c>
      <c r="W28" t="s">
        <v>323</v>
      </c>
      <c r="AA28">
        <v>39</v>
      </c>
      <c r="AD28">
        <v>15</v>
      </c>
      <c r="AE28">
        <v>2018</v>
      </c>
      <c r="AG28">
        <v>14</v>
      </c>
      <c r="AI28" t="s">
        <v>327</v>
      </c>
      <c r="AK28" t="s">
        <v>346</v>
      </c>
      <c r="AL28" t="s">
        <v>354</v>
      </c>
      <c r="AM28" t="s">
        <v>320</v>
      </c>
      <c r="AN28" t="s">
        <v>360</v>
      </c>
      <c r="AO28" t="s">
        <v>363</v>
      </c>
    </row>
    <row r="29" spans="1:41" x14ac:dyDescent="0.3">
      <c r="A29" s="10" t="s">
        <v>81</v>
      </c>
      <c r="B29" t="s">
        <v>148</v>
      </c>
      <c r="D29" t="s">
        <v>188</v>
      </c>
      <c r="E29" t="s">
        <v>193</v>
      </c>
      <c r="H29" t="s">
        <v>210</v>
      </c>
      <c r="I29" t="s">
        <v>262</v>
      </c>
      <c r="J29" t="s">
        <v>299</v>
      </c>
      <c r="K29">
        <v>1.2</v>
      </c>
      <c r="L29">
        <v>3.2000000000000001E-2</v>
      </c>
      <c r="M29">
        <v>2023</v>
      </c>
      <c r="O29" t="s">
        <v>311</v>
      </c>
      <c r="P29" t="s">
        <v>314</v>
      </c>
      <c r="Q29">
        <v>3.05</v>
      </c>
      <c r="R29">
        <v>60</v>
      </c>
      <c r="S29" t="s">
        <v>319</v>
      </c>
      <c r="T29">
        <v>57</v>
      </c>
      <c r="U29" t="s">
        <v>320</v>
      </c>
      <c r="V29" t="s">
        <v>321</v>
      </c>
      <c r="W29" t="s">
        <v>323</v>
      </c>
      <c r="AA29">
        <v>0</v>
      </c>
      <c r="AB29">
        <v>2024</v>
      </c>
      <c r="AC29">
        <v>3</v>
      </c>
      <c r="AD29">
        <v>0</v>
      </c>
      <c r="AE29">
        <v>2017</v>
      </c>
      <c r="AG29">
        <v>1</v>
      </c>
      <c r="AH29">
        <v>2024</v>
      </c>
      <c r="AI29" t="s">
        <v>327</v>
      </c>
      <c r="AJ29" t="s">
        <v>337</v>
      </c>
      <c r="AL29" t="s">
        <v>353</v>
      </c>
      <c r="AM29" t="s">
        <v>320</v>
      </c>
    </row>
    <row r="30" spans="1:41" x14ac:dyDescent="0.3">
      <c r="A30" s="10" t="s">
        <v>82</v>
      </c>
      <c r="D30" t="s">
        <v>189</v>
      </c>
      <c r="H30" t="s">
        <v>221</v>
      </c>
      <c r="I30" t="s">
        <v>273</v>
      </c>
      <c r="J30" t="s">
        <v>307</v>
      </c>
      <c r="L30">
        <v>10.39</v>
      </c>
      <c r="M30">
        <v>2025</v>
      </c>
      <c r="O30" t="s">
        <v>312</v>
      </c>
      <c r="P30" t="s">
        <v>315</v>
      </c>
      <c r="R30">
        <v>130</v>
      </c>
      <c r="S30" t="s">
        <v>320</v>
      </c>
      <c r="T30">
        <v>1408</v>
      </c>
      <c r="U30" t="s">
        <v>320</v>
      </c>
      <c r="V30" t="s">
        <v>321</v>
      </c>
      <c r="W30" t="s">
        <v>323</v>
      </c>
      <c r="AA30">
        <v>109</v>
      </c>
      <c r="AB30">
        <v>2025</v>
      </c>
      <c r="AD30">
        <v>10</v>
      </c>
      <c r="AE30">
        <v>1986</v>
      </c>
      <c r="AF30">
        <v>2037</v>
      </c>
      <c r="AG30">
        <v>18</v>
      </c>
      <c r="AH30">
        <v>2025</v>
      </c>
      <c r="AI30" t="s">
        <v>327</v>
      </c>
      <c r="AJ30" t="s">
        <v>337</v>
      </c>
      <c r="AK30" t="s">
        <v>350</v>
      </c>
      <c r="AL30" t="s">
        <v>353</v>
      </c>
      <c r="AM30" t="s">
        <v>320</v>
      </c>
      <c r="AN30" t="s">
        <v>358</v>
      </c>
      <c r="AO30" t="s">
        <v>11</v>
      </c>
    </row>
    <row r="31" spans="1:41" x14ac:dyDescent="0.3">
      <c r="A31" s="10" t="s">
        <v>83</v>
      </c>
      <c r="B31" t="s">
        <v>149</v>
      </c>
      <c r="D31" t="s">
        <v>186</v>
      </c>
      <c r="E31" t="s">
        <v>191</v>
      </c>
      <c r="F31" t="s">
        <v>198</v>
      </c>
      <c r="H31" t="s">
        <v>217</v>
      </c>
      <c r="I31" t="s">
        <v>269</v>
      </c>
      <c r="J31" t="s">
        <v>301</v>
      </c>
      <c r="K31">
        <v>3.2</v>
      </c>
      <c r="L31">
        <v>0</v>
      </c>
      <c r="O31" t="s">
        <v>311</v>
      </c>
      <c r="P31" t="s">
        <v>314</v>
      </c>
      <c r="R31">
        <v>60</v>
      </c>
      <c r="S31" t="s">
        <v>319</v>
      </c>
      <c r="T31">
        <v>0</v>
      </c>
      <c r="V31" t="s">
        <v>321</v>
      </c>
      <c r="W31" t="s">
        <v>323</v>
      </c>
      <c r="AA31">
        <v>49</v>
      </c>
      <c r="AE31">
        <v>2030</v>
      </c>
      <c r="AG31">
        <v>10</v>
      </c>
      <c r="AI31" t="s">
        <v>327</v>
      </c>
      <c r="AK31" t="s">
        <v>350</v>
      </c>
      <c r="AL31" t="s">
        <v>353</v>
      </c>
      <c r="AM31" t="s">
        <v>320</v>
      </c>
      <c r="AN31" t="s">
        <v>360</v>
      </c>
      <c r="AO31" t="s">
        <v>363</v>
      </c>
    </row>
    <row r="32" spans="1:41" x14ac:dyDescent="0.3">
      <c r="A32" s="10" t="s">
        <v>83</v>
      </c>
      <c r="B32" t="s">
        <v>150</v>
      </c>
      <c r="D32" t="s">
        <v>189</v>
      </c>
      <c r="H32" t="s">
        <v>217</v>
      </c>
      <c r="I32" t="s">
        <v>269</v>
      </c>
      <c r="J32" t="s">
        <v>301</v>
      </c>
      <c r="L32">
        <v>2</v>
      </c>
      <c r="M32">
        <v>2025</v>
      </c>
      <c r="O32" t="s">
        <v>311</v>
      </c>
      <c r="P32" t="s">
        <v>316</v>
      </c>
      <c r="R32">
        <v>60</v>
      </c>
      <c r="S32" t="s">
        <v>319</v>
      </c>
      <c r="T32">
        <v>433</v>
      </c>
      <c r="U32" t="s">
        <v>319</v>
      </c>
      <c r="V32" t="s">
        <v>321</v>
      </c>
      <c r="W32" t="s">
        <v>323</v>
      </c>
      <c r="AA32">
        <v>23</v>
      </c>
      <c r="AB32">
        <v>2024</v>
      </c>
      <c r="AC32">
        <v>48</v>
      </c>
      <c r="AD32">
        <v>12</v>
      </c>
      <c r="AE32">
        <v>2016</v>
      </c>
      <c r="AF32">
        <v>2029</v>
      </c>
      <c r="AG32">
        <v>5</v>
      </c>
      <c r="AH32">
        <v>2024</v>
      </c>
      <c r="AI32" t="s">
        <v>327</v>
      </c>
      <c r="AK32" t="s">
        <v>350</v>
      </c>
      <c r="AL32" t="s">
        <v>353</v>
      </c>
      <c r="AM32" t="s">
        <v>320</v>
      </c>
      <c r="AN32" t="s">
        <v>360</v>
      </c>
      <c r="AO32" t="s">
        <v>363</v>
      </c>
    </row>
    <row r="33" spans="1:41" x14ac:dyDescent="0.3">
      <c r="A33" s="10" t="s">
        <v>84</v>
      </c>
      <c r="B33" t="s">
        <v>151</v>
      </c>
      <c r="D33" t="s">
        <v>189</v>
      </c>
      <c r="H33" t="s">
        <v>221</v>
      </c>
      <c r="I33" t="s">
        <v>273</v>
      </c>
      <c r="J33" t="s">
        <v>307</v>
      </c>
      <c r="L33">
        <v>9.8000000000000007</v>
      </c>
      <c r="M33">
        <v>2025</v>
      </c>
      <c r="O33" t="s">
        <v>311</v>
      </c>
      <c r="P33" t="s">
        <v>314</v>
      </c>
      <c r="Q33">
        <v>2.6</v>
      </c>
      <c r="R33">
        <v>60</v>
      </c>
      <c r="S33" t="s">
        <v>319</v>
      </c>
      <c r="T33">
        <v>2480</v>
      </c>
      <c r="U33" t="s">
        <v>320</v>
      </c>
      <c r="V33" t="s">
        <v>321</v>
      </c>
      <c r="W33" t="s">
        <v>323</v>
      </c>
      <c r="AA33">
        <v>329</v>
      </c>
      <c r="AB33">
        <v>2025</v>
      </c>
      <c r="AD33">
        <v>34</v>
      </c>
      <c r="AE33">
        <v>2019</v>
      </c>
      <c r="AG33">
        <v>26</v>
      </c>
      <c r="AI33" t="s">
        <v>327</v>
      </c>
      <c r="AJ33" t="s">
        <v>337</v>
      </c>
      <c r="AK33" t="s">
        <v>350</v>
      </c>
      <c r="AL33" t="s">
        <v>353</v>
      </c>
      <c r="AM33" t="s">
        <v>320</v>
      </c>
      <c r="AN33" t="s">
        <v>358</v>
      </c>
      <c r="AO33" t="s">
        <v>11</v>
      </c>
    </row>
    <row r="34" spans="1:41" x14ac:dyDescent="0.3">
      <c r="A34" s="10" t="s">
        <v>85</v>
      </c>
      <c r="B34" t="s">
        <v>152</v>
      </c>
      <c r="D34" t="s">
        <v>189</v>
      </c>
      <c r="F34" t="s">
        <v>199</v>
      </c>
      <c r="H34" t="s">
        <v>222</v>
      </c>
      <c r="I34" t="s">
        <v>274</v>
      </c>
      <c r="J34" t="s">
        <v>299</v>
      </c>
      <c r="K34">
        <v>2.4</v>
      </c>
      <c r="L34">
        <v>3</v>
      </c>
      <c r="M34">
        <v>2023</v>
      </c>
      <c r="O34" t="s">
        <v>312</v>
      </c>
      <c r="P34" t="s">
        <v>315</v>
      </c>
      <c r="R34">
        <v>60</v>
      </c>
      <c r="S34" t="s">
        <v>319</v>
      </c>
      <c r="T34">
        <v>449</v>
      </c>
      <c r="U34" t="s">
        <v>319</v>
      </c>
      <c r="V34" t="s">
        <v>321</v>
      </c>
      <c r="W34" t="s">
        <v>323</v>
      </c>
      <c r="AA34">
        <v>0</v>
      </c>
      <c r="AE34">
        <v>1991</v>
      </c>
      <c r="AG34">
        <v>18</v>
      </c>
      <c r="AI34" t="s">
        <v>327</v>
      </c>
      <c r="AJ34" t="s">
        <v>327</v>
      </c>
      <c r="AK34" t="s">
        <v>350</v>
      </c>
      <c r="AL34" t="s">
        <v>353</v>
      </c>
      <c r="AM34" t="s">
        <v>357</v>
      </c>
      <c r="AN34" t="s">
        <v>360</v>
      </c>
      <c r="AO34" t="s">
        <v>363</v>
      </c>
    </row>
    <row r="35" spans="1:41" x14ac:dyDescent="0.3">
      <c r="A35" s="10" t="s">
        <v>86</v>
      </c>
      <c r="D35" t="s">
        <v>189</v>
      </c>
      <c r="H35" t="s">
        <v>223</v>
      </c>
      <c r="I35" t="s">
        <v>275</v>
      </c>
      <c r="J35" t="s">
        <v>299</v>
      </c>
      <c r="L35">
        <v>4.01</v>
      </c>
      <c r="M35">
        <v>2025</v>
      </c>
      <c r="O35" t="s">
        <v>310</v>
      </c>
      <c r="P35" t="s">
        <v>313</v>
      </c>
      <c r="R35">
        <v>85</v>
      </c>
      <c r="S35" t="s">
        <v>320</v>
      </c>
      <c r="T35">
        <v>864</v>
      </c>
      <c r="U35" t="s">
        <v>320</v>
      </c>
      <c r="V35" t="s">
        <v>321</v>
      </c>
      <c r="W35" t="s">
        <v>323</v>
      </c>
      <c r="AA35">
        <v>26</v>
      </c>
      <c r="AB35">
        <v>2025</v>
      </c>
      <c r="AD35">
        <v>6</v>
      </c>
      <c r="AE35">
        <v>1975</v>
      </c>
      <c r="AF35">
        <v>2037</v>
      </c>
      <c r="AG35">
        <v>8</v>
      </c>
      <c r="AH35">
        <v>2025</v>
      </c>
      <c r="AI35" t="s">
        <v>328</v>
      </c>
      <c r="AK35" t="s">
        <v>350</v>
      </c>
      <c r="AL35" t="s">
        <v>353</v>
      </c>
      <c r="AM35" t="s">
        <v>320</v>
      </c>
      <c r="AN35" t="s">
        <v>358</v>
      </c>
      <c r="AO35" t="s">
        <v>16</v>
      </c>
    </row>
    <row r="36" spans="1:41" x14ac:dyDescent="0.3">
      <c r="A36" s="10" t="s">
        <v>87</v>
      </c>
      <c r="B36" t="s">
        <v>153</v>
      </c>
      <c r="D36" t="s">
        <v>189</v>
      </c>
      <c r="H36" t="s">
        <v>224</v>
      </c>
      <c r="I36" t="s">
        <v>257</v>
      </c>
      <c r="J36" t="s">
        <v>299</v>
      </c>
      <c r="L36">
        <v>4.82</v>
      </c>
      <c r="M36">
        <v>2023</v>
      </c>
      <c r="O36" t="s">
        <v>311</v>
      </c>
      <c r="P36" t="s">
        <v>314</v>
      </c>
      <c r="Q36">
        <v>42.69</v>
      </c>
      <c r="R36">
        <v>50</v>
      </c>
      <c r="S36" t="s">
        <v>319</v>
      </c>
      <c r="T36">
        <v>600</v>
      </c>
      <c r="U36" t="s">
        <v>320</v>
      </c>
      <c r="V36" t="s">
        <v>321</v>
      </c>
      <c r="W36" t="s">
        <v>324</v>
      </c>
      <c r="X36">
        <v>10</v>
      </c>
      <c r="Y36">
        <v>90</v>
      </c>
      <c r="Z36" t="s">
        <v>326</v>
      </c>
      <c r="AA36">
        <v>30</v>
      </c>
      <c r="AB36">
        <v>2024</v>
      </c>
      <c r="AC36">
        <v>58</v>
      </c>
      <c r="AD36">
        <v>6</v>
      </c>
      <c r="AE36">
        <v>1992</v>
      </c>
      <c r="AG36">
        <v>9</v>
      </c>
      <c r="AH36">
        <v>2023</v>
      </c>
      <c r="AI36" t="s">
        <v>327</v>
      </c>
      <c r="AJ36" t="s">
        <v>335</v>
      </c>
      <c r="AK36" t="s">
        <v>350</v>
      </c>
      <c r="AL36" t="s">
        <v>353</v>
      </c>
      <c r="AM36" t="s">
        <v>320</v>
      </c>
      <c r="AN36" t="s">
        <v>359</v>
      </c>
    </row>
    <row r="37" spans="1:41" x14ac:dyDescent="0.3">
      <c r="A37" s="10" t="s">
        <v>88</v>
      </c>
      <c r="B37" t="s">
        <v>154</v>
      </c>
      <c r="D37" t="s">
        <v>186</v>
      </c>
      <c r="E37" t="s">
        <v>194</v>
      </c>
      <c r="F37" t="s">
        <v>196</v>
      </c>
      <c r="H37" t="s">
        <v>225</v>
      </c>
      <c r="I37" t="s">
        <v>276</v>
      </c>
      <c r="J37" t="s">
        <v>299</v>
      </c>
      <c r="K37">
        <v>2.5</v>
      </c>
      <c r="L37">
        <v>0</v>
      </c>
      <c r="O37" t="s">
        <v>310</v>
      </c>
      <c r="P37" t="s">
        <v>313</v>
      </c>
      <c r="Q37">
        <v>32</v>
      </c>
      <c r="R37">
        <v>80</v>
      </c>
      <c r="S37" t="s">
        <v>319</v>
      </c>
      <c r="T37">
        <v>0</v>
      </c>
      <c r="V37" t="s">
        <v>322</v>
      </c>
      <c r="W37" t="s">
        <v>323</v>
      </c>
      <c r="AA37">
        <v>0</v>
      </c>
      <c r="AG37">
        <v>24</v>
      </c>
      <c r="AJ37" t="s">
        <v>340</v>
      </c>
      <c r="AL37" t="s">
        <v>355</v>
      </c>
      <c r="AM37" t="s">
        <v>357</v>
      </c>
      <c r="AN37" t="s">
        <v>358</v>
      </c>
      <c r="AO37" t="s">
        <v>18</v>
      </c>
    </row>
    <row r="38" spans="1:41" x14ac:dyDescent="0.3">
      <c r="A38" s="10" t="s">
        <v>89</v>
      </c>
      <c r="D38" t="s">
        <v>190</v>
      </c>
      <c r="E38" t="s">
        <v>194</v>
      </c>
      <c r="F38" t="s">
        <v>196</v>
      </c>
      <c r="H38" t="s">
        <v>226</v>
      </c>
      <c r="I38" t="s">
        <v>277</v>
      </c>
      <c r="J38" t="s">
        <v>308</v>
      </c>
      <c r="K38">
        <v>3</v>
      </c>
      <c r="L38">
        <v>0</v>
      </c>
      <c r="O38" t="s">
        <v>310</v>
      </c>
      <c r="Q38">
        <v>97</v>
      </c>
      <c r="R38">
        <v>70</v>
      </c>
      <c r="S38" t="s">
        <v>320</v>
      </c>
      <c r="T38">
        <v>685</v>
      </c>
      <c r="U38" t="s">
        <v>320</v>
      </c>
      <c r="V38" t="s">
        <v>321</v>
      </c>
      <c r="W38" t="s">
        <v>323</v>
      </c>
      <c r="AA38">
        <v>125</v>
      </c>
      <c r="AD38">
        <v>42</v>
      </c>
      <c r="AG38">
        <v>35</v>
      </c>
      <c r="AI38" t="s">
        <v>328</v>
      </c>
      <c r="AJ38" t="s">
        <v>341</v>
      </c>
      <c r="AK38" t="s">
        <v>352</v>
      </c>
      <c r="AL38" t="s">
        <v>353</v>
      </c>
      <c r="AM38" t="s">
        <v>357</v>
      </c>
    </row>
    <row r="39" spans="1:41" x14ac:dyDescent="0.3">
      <c r="A39" s="10" t="s">
        <v>90</v>
      </c>
      <c r="B39" t="s">
        <v>155</v>
      </c>
      <c r="D39" t="s">
        <v>189</v>
      </c>
      <c r="H39" t="s">
        <v>227</v>
      </c>
      <c r="I39" t="s">
        <v>278</v>
      </c>
      <c r="J39" t="s">
        <v>308</v>
      </c>
      <c r="L39">
        <v>1.8</v>
      </c>
      <c r="M39">
        <v>2025</v>
      </c>
      <c r="O39" t="s">
        <v>311</v>
      </c>
      <c r="P39" t="s">
        <v>314</v>
      </c>
      <c r="R39">
        <v>60</v>
      </c>
      <c r="S39" t="s">
        <v>319</v>
      </c>
      <c r="T39">
        <v>383</v>
      </c>
      <c r="U39" t="s">
        <v>319</v>
      </c>
      <c r="V39" t="s">
        <v>321</v>
      </c>
      <c r="W39" t="s">
        <v>323</v>
      </c>
      <c r="AA39">
        <v>111</v>
      </c>
      <c r="AB39">
        <v>2024</v>
      </c>
      <c r="AC39">
        <v>145</v>
      </c>
      <c r="AD39">
        <v>62</v>
      </c>
      <c r="AF39">
        <v>2043</v>
      </c>
      <c r="AG39">
        <v>19</v>
      </c>
      <c r="AH39">
        <v>2024</v>
      </c>
      <c r="AI39" t="s">
        <v>327</v>
      </c>
      <c r="AJ39" t="s">
        <v>330</v>
      </c>
      <c r="AK39" t="s">
        <v>350</v>
      </c>
      <c r="AL39" t="s">
        <v>353</v>
      </c>
      <c r="AM39" t="s">
        <v>320</v>
      </c>
      <c r="AN39" t="s">
        <v>360</v>
      </c>
      <c r="AO39" t="s">
        <v>363</v>
      </c>
    </row>
    <row r="40" spans="1:41" x14ac:dyDescent="0.3">
      <c r="A40" s="10" t="s">
        <v>91</v>
      </c>
      <c r="D40" t="s">
        <v>189</v>
      </c>
      <c r="H40" t="s">
        <v>228</v>
      </c>
      <c r="I40" t="s">
        <v>279</v>
      </c>
      <c r="J40" t="s">
        <v>302</v>
      </c>
      <c r="L40">
        <v>3.18</v>
      </c>
      <c r="M40">
        <v>2023</v>
      </c>
      <c r="O40" t="s">
        <v>311</v>
      </c>
      <c r="P40" t="s">
        <v>314</v>
      </c>
      <c r="R40">
        <v>50</v>
      </c>
      <c r="S40" t="s">
        <v>319</v>
      </c>
      <c r="T40">
        <v>484</v>
      </c>
      <c r="U40" t="s">
        <v>319</v>
      </c>
      <c r="V40" t="s">
        <v>322</v>
      </c>
      <c r="W40" t="s">
        <v>323</v>
      </c>
      <c r="AA40">
        <v>0</v>
      </c>
      <c r="AC40">
        <v>410</v>
      </c>
      <c r="AE40">
        <v>2015</v>
      </c>
      <c r="AG40">
        <v>30</v>
      </c>
      <c r="AH40">
        <v>2018</v>
      </c>
      <c r="AI40" t="s">
        <v>327</v>
      </c>
      <c r="AL40" t="s">
        <v>353</v>
      </c>
      <c r="AM40" t="s">
        <v>320</v>
      </c>
      <c r="AN40" t="s">
        <v>358</v>
      </c>
      <c r="AO40" t="s">
        <v>364</v>
      </c>
    </row>
    <row r="41" spans="1:41" x14ac:dyDescent="0.3">
      <c r="A41" s="10" t="s">
        <v>92</v>
      </c>
      <c r="B41" t="s">
        <v>156</v>
      </c>
      <c r="D41" t="s">
        <v>189</v>
      </c>
      <c r="H41" t="s">
        <v>205</v>
      </c>
      <c r="I41" t="s">
        <v>257</v>
      </c>
      <c r="J41" t="s">
        <v>299</v>
      </c>
      <c r="L41">
        <v>5.9</v>
      </c>
      <c r="M41">
        <v>2024</v>
      </c>
      <c r="O41" t="s">
        <v>310</v>
      </c>
      <c r="P41" t="s">
        <v>315</v>
      </c>
      <c r="Q41">
        <v>235</v>
      </c>
      <c r="R41">
        <v>100</v>
      </c>
      <c r="S41" t="s">
        <v>320</v>
      </c>
      <c r="T41">
        <v>2500</v>
      </c>
      <c r="U41" t="s">
        <v>320</v>
      </c>
      <c r="V41" t="s">
        <v>321</v>
      </c>
      <c r="W41" t="s">
        <v>323</v>
      </c>
      <c r="AA41">
        <v>131</v>
      </c>
      <c r="AB41">
        <v>2024</v>
      </c>
      <c r="AC41">
        <v>716</v>
      </c>
      <c r="AD41">
        <v>22</v>
      </c>
      <c r="AE41">
        <v>1976</v>
      </c>
      <c r="AG41">
        <v>1</v>
      </c>
      <c r="AH41">
        <v>2024</v>
      </c>
      <c r="AI41" t="s">
        <v>328</v>
      </c>
      <c r="AJ41" t="s">
        <v>329</v>
      </c>
      <c r="AK41" t="s">
        <v>350</v>
      </c>
      <c r="AL41" t="s">
        <v>353</v>
      </c>
      <c r="AM41" t="s">
        <v>320</v>
      </c>
      <c r="AN41" t="s">
        <v>358</v>
      </c>
      <c r="AO41" t="s">
        <v>13</v>
      </c>
    </row>
    <row r="42" spans="1:41" x14ac:dyDescent="0.3">
      <c r="A42" s="10" t="s">
        <v>92</v>
      </c>
      <c r="B42" t="s">
        <v>157</v>
      </c>
      <c r="D42" t="s">
        <v>186</v>
      </c>
      <c r="E42" t="s">
        <v>195</v>
      </c>
      <c r="F42" t="s">
        <v>197</v>
      </c>
      <c r="H42" t="s">
        <v>205</v>
      </c>
      <c r="I42" t="s">
        <v>257</v>
      </c>
      <c r="J42" t="s">
        <v>299</v>
      </c>
      <c r="K42">
        <v>3</v>
      </c>
      <c r="L42">
        <v>0</v>
      </c>
      <c r="O42" t="s">
        <v>310</v>
      </c>
      <c r="P42" t="s">
        <v>313</v>
      </c>
      <c r="R42">
        <v>80</v>
      </c>
      <c r="S42" t="s">
        <v>319</v>
      </c>
      <c r="T42">
        <v>0</v>
      </c>
      <c r="V42" t="s">
        <v>321</v>
      </c>
      <c r="W42" t="s">
        <v>323</v>
      </c>
      <c r="AA42">
        <v>0</v>
      </c>
      <c r="AE42">
        <v>2025</v>
      </c>
      <c r="AI42" t="s">
        <v>328</v>
      </c>
      <c r="AJ42" t="s">
        <v>329</v>
      </c>
      <c r="AK42" t="s">
        <v>350</v>
      </c>
      <c r="AL42" t="s">
        <v>353</v>
      </c>
      <c r="AM42" t="s">
        <v>320</v>
      </c>
      <c r="AN42" t="s">
        <v>358</v>
      </c>
      <c r="AO42" t="s">
        <v>13</v>
      </c>
    </row>
    <row r="43" spans="1:41" x14ac:dyDescent="0.3">
      <c r="A43" s="10" t="s">
        <v>93</v>
      </c>
      <c r="D43" t="s">
        <v>189</v>
      </c>
      <c r="H43" t="s">
        <v>216</v>
      </c>
      <c r="I43" t="s">
        <v>268</v>
      </c>
      <c r="J43" t="s">
        <v>306</v>
      </c>
      <c r="L43">
        <v>2.1</v>
      </c>
      <c r="M43">
        <v>2021</v>
      </c>
      <c r="O43" t="s">
        <v>311</v>
      </c>
      <c r="P43" t="s">
        <v>314</v>
      </c>
      <c r="R43">
        <v>60</v>
      </c>
      <c r="S43" t="s">
        <v>319</v>
      </c>
      <c r="T43">
        <v>376</v>
      </c>
      <c r="U43" t="s">
        <v>319</v>
      </c>
      <c r="V43" t="s">
        <v>321</v>
      </c>
      <c r="W43" t="s">
        <v>323</v>
      </c>
      <c r="AA43">
        <v>18</v>
      </c>
      <c r="AC43">
        <v>173</v>
      </c>
      <c r="AD43">
        <v>9</v>
      </c>
      <c r="AJ43" t="s">
        <v>330</v>
      </c>
      <c r="AK43" t="s">
        <v>350</v>
      </c>
      <c r="AL43" t="s">
        <v>353</v>
      </c>
      <c r="AM43" t="s">
        <v>320</v>
      </c>
      <c r="AN43" t="s">
        <v>360</v>
      </c>
    </row>
    <row r="44" spans="1:41" x14ac:dyDescent="0.3">
      <c r="A44" s="10" t="s">
        <v>94</v>
      </c>
      <c r="B44" t="s">
        <v>158</v>
      </c>
      <c r="D44" t="s">
        <v>189</v>
      </c>
      <c r="H44" t="s">
        <v>221</v>
      </c>
      <c r="I44" t="s">
        <v>273</v>
      </c>
      <c r="J44" t="s">
        <v>307</v>
      </c>
      <c r="K44">
        <v>8</v>
      </c>
      <c r="L44">
        <v>4.8099999999999996</v>
      </c>
      <c r="M44">
        <v>2025</v>
      </c>
      <c r="O44" t="s">
        <v>311</v>
      </c>
      <c r="P44" t="s">
        <v>314</v>
      </c>
      <c r="R44">
        <v>60</v>
      </c>
      <c r="S44" t="s">
        <v>319</v>
      </c>
      <c r="T44">
        <v>410</v>
      </c>
      <c r="U44" t="s">
        <v>320</v>
      </c>
      <c r="V44" t="s">
        <v>321</v>
      </c>
      <c r="W44" t="s">
        <v>323</v>
      </c>
      <c r="AA44">
        <v>383</v>
      </c>
      <c r="AD44">
        <v>80</v>
      </c>
      <c r="AE44">
        <v>1978</v>
      </c>
      <c r="AF44">
        <v>2048</v>
      </c>
      <c r="AG44">
        <v>23</v>
      </c>
      <c r="AH44">
        <v>2025</v>
      </c>
      <c r="AI44" t="s">
        <v>327</v>
      </c>
      <c r="AJ44" t="s">
        <v>330</v>
      </c>
      <c r="AK44" t="s">
        <v>350</v>
      </c>
      <c r="AL44" t="s">
        <v>353</v>
      </c>
      <c r="AM44" t="s">
        <v>320</v>
      </c>
      <c r="AN44" t="s">
        <v>358</v>
      </c>
      <c r="AO44" t="s">
        <v>12</v>
      </c>
    </row>
    <row r="45" spans="1:41" x14ac:dyDescent="0.3">
      <c r="A45" s="10" t="s">
        <v>95</v>
      </c>
      <c r="B45" t="s">
        <v>159</v>
      </c>
      <c r="D45" t="s">
        <v>189</v>
      </c>
      <c r="H45" t="s">
        <v>229</v>
      </c>
      <c r="I45" t="s">
        <v>280</v>
      </c>
      <c r="J45" t="s">
        <v>299</v>
      </c>
      <c r="L45">
        <v>0</v>
      </c>
      <c r="O45" t="s">
        <v>311</v>
      </c>
      <c r="P45" t="s">
        <v>314</v>
      </c>
      <c r="R45">
        <v>60</v>
      </c>
      <c r="S45" t="s">
        <v>319</v>
      </c>
      <c r="T45">
        <v>0</v>
      </c>
      <c r="V45" t="s">
        <v>321</v>
      </c>
      <c r="W45" t="s">
        <v>323</v>
      </c>
      <c r="AA45">
        <v>0</v>
      </c>
      <c r="AI45" t="s">
        <v>327</v>
      </c>
      <c r="AJ45" t="s">
        <v>342</v>
      </c>
      <c r="AL45" t="s">
        <v>353</v>
      </c>
      <c r="AM45" t="s">
        <v>320</v>
      </c>
      <c r="AN45" t="s">
        <v>360</v>
      </c>
    </row>
    <row r="46" spans="1:41" x14ac:dyDescent="0.3">
      <c r="A46" s="10" t="s">
        <v>96</v>
      </c>
      <c r="D46" t="s">
        <v>189</v>
      </c>
      <c r="H46" t="s">
        <v>210</v>
      </c>
      <c r="I46" t="s">
        <v>262</v>
      </c>
      <c r="J46" t="s">
        <v>299</v>
      </c>
      <c r="K46">
        <v>2.9</v>
      </c>
      <c r="L46">
        <v>2.5299999999999998</v>
      </c>
      <c r="M46">
        <v>2023</v>
      </c>
      <c r="O46" t="s">
        <v>311</v>
      </c>
      <c r="P46" t="s">
        <v>314</v>
      </c>
      <c r="R46">
        <v>60</v>
      </c>
      <c r="S46" t="s">
        <v>319</v>
      </c>
      <c r="T46">
        <v>495</v>
      </c>
      <c r="U46" t="s">
        <v>320</v>
      </c>
      <c r="V46" t="s">
        <v>321</v>
      </c>
      <c r="W46" t="s">
        <v>323</v>
      </c>
      <c r="AA46">
        <v>22</v>
      </c>
      <c r="AB46">
        <v>2024</v>
      </c>
      <c r="AC46">
        <v>20</v>
      </c>
      <c r="AD46">
        <v>9</v>
      </c>
      <c r="AE46">
        <v>2021</v>
      </c>
      <c r="AG46">
        <v>6</v>
      </c>
      <c r="AH46">
        <v>2024</v>
      </c>
      <c r="AI46" t="s">
        <v>327</v>
      </c>
      <c r="AJ46" t="s">
        <v>335</v>
      </c>
      <c r="AK46" t="s">
        <v>350</v>
      </c>
      <c r="AL46" t="s">
        <v>353</v>
      </c>
      <c r="AM46" t="s">
        <v>320</v>
      </c>
      <c r="AN46" t="s">
        <v>358</v>
      </c>
      <c r="AO46" t="s">
        <v>17</v>
      </c>
    </row>
    <row r="47" spans="1:41" x14ac:dyDescent="0.3">
      <c r="A47" s="10" t="s">
        <v>97</v>
      </c>
      <c r="D47" t="s">
        <v>190</v>
      </c>
      <c r="E47" t="s">
        <v>191</v>
      </c>
      <c r="F47" t="s">
        <v>196</v>
      </c>
      <c r="H47" t="s">
        <v>230</v>
      </c>
      <c r="I47" t="s">
        <v>281</v>
      </c>
      <c r="J47" t="s">
        <v>299</v>
      </c>
      <c r="L47">
        <v>0</v>
      </c>
      <c r="O47" t="s">
        <v>311</v>
      </c>
      <c r="P47" t="s">
        <v>314</v>
      </c>
      <c r="Q47">
        <v>4.01</v>
      </c>
      <c r="R47">
        <v>60</v>
      </c>
      <c r="S47" t="s">
        <v>319</v>
      </c>
      <c r="T47">
        <v>0</v>
      </c>
      <c r="V47" t="s">
        <v>321</v>
      </c>
      <c r="W47" t="s">
        <v>323</v>
      </c>
      <c r="AA47">
        <v>0</v>
      </c>
      <c r="AG47">
        <v>10</v>
      </c>
      <c r="AI47" t="s">
        <v>327</v>
      </c>
      <c r="AL47" t="s">
        <v>353</v>
      </c>
      <c r="AM47" t="s">
        <v>357</v>
      </c>
    </row>
    <row r="48" spans="1:41" x14ac:dyDescent="0.3">
      <c r="A48" s="10" t="s">
        <v>98</v>
      </c>
      <c r="B48" t="s">
        <v>160</v>
      </c>
      <c r="D48" t="s">
        <v>189</v>
      </c>
      <c r="H48" t="s">
        <v>231</v>
      </c>
      <c r="I48" t="s">
        <v>263</v>
      </c>
      <c r="J48" t="s">
        <v>307</v>
      </c>
      <c r="K48">
        <v>4.4000000000000004</v>
      </c>
      <c r="L48">
        <v>4.4000000000000004</v>
      </c>
      <c r="M48">
        <v>2025</v>
      </c>
      <c r="O48" t="s">
        <v>312</v>
      </c>
      <c r="P48" t="s">
        <v>315</v>
      </c>
      <c r="R48">
        <v>60</v>
      </c>
      <c r="S48" t="s">
        <v>319</v>
      </c>
      <c r="T48">
        <v>60</v>
      </c>
      <c r="U48" t="s">
        <v>320</v>
      </c>
      <c r="V48" t="s">
        <v>322</v>
      </c>
      <c r="W48" t="s">
        <v>323</v>
      </c>
      <c r="AA48">
        <v>43</v>
      </c>
      <c r="AB48">
        <v>2024</v>
      </c>
      <c r="AC48">
        <v>108</v>
      </c>
      <c r="AD48">
        <v>10</v>
      </c>
      <c r="AG48">
        <v>11</v>
      </c>
      <c r="AH48">
        <v>2024</v>
      </c>
      <c r="AI48" t="s">
        <v>327</v>
      </c>
      <c r="AK48" t="s">
        <v>329</v>
      </c>
      <c r="AL48" t="s">
        <v>353</v>
      </c>
      <c r="AM48" t="s">
        <v>320</v>
      </c>
      <c r="AN48" t="s">
        <v>358</v>
      </c>
      <c r="AO48" t="s">
        <v>364</v>
      </c>
    </row>
    <row r="49" spans="1:41" x14ac:dyDescent="0.3">
      <c r="A49" s="10" t="s">
        <v>99</v>
      </c>
      <c r="D49" t="s">
        <v>189</v>
      </c>
      <c r="H49" t="s">
        <v>223</v>
      </c>
      <c r="I49" t="s">
        <v>275</v>
      </c>
      <c r="J49" t="s">
        <v>299</v>
      </c>
      <c r="L49">
        <v>4.3899999999999997</v>
      </c>
      <c r="M49">
        <v>2025</v>
      </c>
      <c r="O49" t="s">
        <v>310</v>
      </c>
      <c r="P49" t="s">
        <v>317</v>
      </c>
      <c r="Q49">
        <v>343</v>
      </c>
      <c r="R49">
        <v>200</v>
      </c>
      <c r="S49" t="s">
        <v>320</v>
      </c>
      <c r="T49">
        <v>1376</v>
      </c>
      <c r="U49" t="s">
        <v>320</v>
      </c>
      <c r="V49" t="s">
        <v>321</v>
      </c>
      <c r="W49" t="s">
        <v>323</v>
      </c>
      <c r="AA49">
        <v>118</v>
      </c>
      <c r="AB49">
        <v>2025</v>
      </c>
      <c r="AD49">
        <v>27</v>
      </c>
      <c r="AE49">
        <v>1982</v>
      </c>
      <c r="AF49">
        <v>2053</v>
      </c>
      <c r="AG49">
        <v>29</v>
      </c>
      <c r="AH49">
        <v>2025</v>
      </c>
      <c r="AI49" t="s">
        <v>328</v>
      </c>
      <c r="AJ49" t="s">
        <v>343</v>
      </c>
      <c r="AK49" t="s">
        <v>352</v>
      </c>
      <c r="AL49" t="s">
        <v>353</v>
      </c>
      <c r="AM49" t="s">
        <v>320</v>
      </c>
      <c r="AN49" t="s">
        <v>358</v>
      </c>
      <c r="AO49" t="s">
        <v>15</v>
      </c>
    </row>
    <row r="50" spans="1:41" x14ac:dyDescent="0.3">
      <c r="A50" s="10" t="s">
        <v>100</v>
      </c>
      <c r="D50" t="s">
        <v>189</v>
      </c>
      <c r="H50" t="s">
        <v>232</v>
      </c>
      <c r="I50" t="s">
        <v>282</v>
      </c>
      <c r="J50" t="s">
        <v>299</v>
      </c>
      <c r="K50">
        <v>6.2</v>
      </c>
      <c r="L50">
        <v>2.1</v>
      </c>
      <c r="M50">
        <v>2023</v>
      </c>
      <c r="O50" t="s">
        <v>311</v>
      </c>
      <c r="P50" t="s">
        <v>314</v>
      </c>
      <c r="R50">
        <v>60</v>
      </c>
      <c r="S50" t="s">
        <v>319</v>
      </c>
      <c r="T50">
        <v>706</v>
      </c>
      <c r="U50" t="s">
        <v>320</v>
      </c>
      <c r="V50" t="s">
        <v>321</v>
      </c>
      <c r="W50" t="s">
        <v>323</v>
      </c>
      <c r="AA50">
        <v>0</v>
      </c>
      <c r="AE50">
        <v>2020</v>
      </c>
      <c r="AG50">
        <v>50</v>
      </c>
      <c r="AI50" t="s">
        <v>327</v>
      </c>
      <c r="AJ50" t="s">
        <v>344</v>
      </c>
      <c r="AK50" t="s">
        <v>350</v>
      </c>
      <c r="AL50" t="s">
        <v>353</v>
      </c>
      <c r="AM50" t="s">
        <v>320</v>
      </c>
      <c r="AN50" t="s">
        <v>358</v>
      </c>
      <c r="AO50" t="s">
        <v>17</v>
      </c>
    </row>
    <row r="51" spans="1:41" x14ac:dyDescent="0.3">
      <c r="A51" s="10" t="s">
        <v>101</v>
      </c>
      <c r="B51" t="s">
        <v>161</v>
      </c>
      <c r="D51" t="s">
        <v>189</v>
      </c>
      <c r="H51" t="s">
        <v>233</v>
      </c>
      <c r="I51" t="s">
        <v>283</v>
      </c>
      <c r="J51" t="s">
        <v>299</v>
      </c>
      <c r="K51">
        <v>1.2</v>
      </c>
      <c r="L51">
        <v>1.45</v>
      </c>
      <c r="O51" t="s">
        <v>311</v>
      </c>
      <c r="P51" t="s">
        <v>314</v>
      </c>
      <c r="Q51">
        <v>30</v>
      </c>
      <c r="R51">
        <v>60</v>
      </c>
      <c r="S51" t="s">
        <v>319</v>
      </c>
      <c r="T51">
        <v>380</v>
      </c>
      <c r="U51" t="s">
        <v>320</v>
      </c>
      <c r="V51" t="s">
        <v>321</v>
      </c>
      <c r="W51" t="s">
        <v>323</v>
      </c>
      <c r="AA51">
        <v>2</v>
      </c>
      <c r="AB51">
        <v>2024</v>
      </c>
      <c r="AD51">
        <v>1</v>
      </c>
      <c r="AI51" t="s">
        <v>327</v>
      </c>
      <c r="AJ51" t="s">
        <v>330</v>
      </c>
      <c r="AK51" t="s">
        <v>350</v>
      </c>
      <c r="AL51" t="s">
        <v>353</v>
      </c>
      <c r="AM51" t="s">
        <v>320</v>
      </c>
      <c r="AN51" t="s">
        <v>360</v>
      </c>
      <c r="AO51" t="s">
        <v>363</v>
      </c>
    </row>
    <row r="52" spans="1:41" x14ac:dyDescent="0.3">
      <c r="A52" s="10" t="s">
        <v>102</v>
      </c>
      <c r="B52" t="s">
        <v>162</v>
      </c>
      <c r="D52" t="s">
        <v>189</v>
      </c>
      <c r="H52" t="s">
        <v>231</v>
      </c>
      <c r="I52" t="s">
        <v>263</v>
      </c>
      <c r="J52" t="s">
        <v>307</v>
      </c>
      <c r="K52">
        <v>5.0999999999999996</v>
      </c>
      <c r="L52">
        <v>5.0999999999999996</v>
      </c>
      <c r="M52">
        <v>2025</v>
      </c>
      <c r="O52" t="s">
        <v>311</v>
      </c>
      <c r="P52" t="s">
        <v>314</v>
      </c>
      <c r="R52">
        <v>50</v>
      </c>
      <c r="S52" t="s">
        <v>319</v>
      </c>
      <c r="T52">
        <v>96</v>
      </c>
      <c r="U52" t="s">
        <v>320</v>
      </c>
      <c r="V52" t="s">
        <v>322</v>
      </c>
      <c r="W52" t="s">
        <v>323</v>
      </c>
      <c r="AA52">
        <v>16</v>
      </c>
      <c r="AB52">
        <v>2024</v>
      </c>
      <c r="AC52">
        <v>89</v>
      </c>
      <c r="AD52">
        <v>3</v>
      </c>
      <c r="AG52">
        <v>7</v>
      </c>
      <c r="AH52">
        <v>2024</v>
      </c>
      <c r="AI52" t="s">
        <v>327</v>
      </c>
      <c r="AJ52" t="s">
        <v>331</v>
      </c>
      <c r="AK52" t="s">
        <v>350</v>
      </c>
      <c r="AL52" t="s">
        <v>353</v>
      </c>
      <c r="AM52" t="s">
        <v>320</v>
      </c>
      <c r="AN52" t="s">
        <v>358</v>
      </c>
      <c r="AO52" t="s">
        <v>364</v>
      </c>
    </row>
    <row r="53" spans="1:41" x14ac:dyDescent="0.3">
      <c r="A53" s="10" t="s">
        <v>103</v>
      </c>
      <c r="B53" t="s">
        <v>163</v>
      </c>
      <c r="D53" t="s">
        <v>188</v>
      </c>
      <c r="E53" t="s">
        <v>193</v>
      </c>
      <c r="H53" t="s">
        <v>234</v>
      </c>
      <c r="I53" t="s">
        <v>284</v>
      </c>
      <c r="J53" t="s">
        <v>299</v>
      </c>
      <c r="K53">
        <v>12</v>
      </c>
      <c r="L53">
        <v>0</v>
      </c>
      <c r="O53" t="s">
        <v>312</v>
      </c>
      <c r="P53" t="s">
        <v>315</v>
      </c>
      <c r="Q53">
        <v>380</v>
      </c>
      <c r="R53">
        <v>150</v>
      </c>
      <c r="S53" t="s">
        <v>320</v>
      </c>
      <c r="T53">
        <v>2000</v>
      </c>
      <c r="U53" t="s">
        <v>320</v>
      </c>
      <c r="V53" t="s">
        <v>321</v>
      </c>
      <c r="W53" t="s">
        <v>323</v>
      </c>
      <c r="AA53">
        <v>114</v>
      </c>
      <c r="AC53">
        <v>650</v>
      </c>
      <c r="AI53" t="s">
        <v>327</v>
      </c>
      <c r="AJ53" t="s">
        <v>345</v>
      </c>
      <c r="AK53" t="s">
        <v>350</v>
      </c>
      <c r="AL53" t="s">
        <v>353</v>
      </c>
      <c r="AM53" t="s">
        <v>320</v>
      </c>
      <c r="AN53" t="s">
        <v>358</v>
      </c>
      <c r="AO53" t="s">
        <v>14</v>
      </c>
    </row>
    <row r="54" spans="1:41" x14ac:dyDescent="0.3">
      <c r="A54" s="10" t="s">
        <v>104</v>
      </c>
      <c r="C54" t="s">
        <v>185</v>
      </c>
      <c r="D54" t="s">
        <v>189</v>
      </c>
      <c r="H54" t="s">
        <v>235</v>
      </c>
      <c r="I54" t="s">
        <v>285</v>
      </c>
      <c r="J54" t="s">
        <v>299</v>
      </c>
      <c r="K54">
        <v>3.25</v>
      </c>
      <c r="L54">
        <v>1.1499999999999999</v>
      </c>
      <c r="O54" t="s">
        <v>312</v>
      </c>
      <c r="P54" t="s">
        <v>315</v>
      </c>
      <c r="R54">
        <v>60</v>
      </c>
      <c r="S54" t="s">
        <v>319</v>
      </c>
      <c r="T54">
        <v>365</v>
      </c>
      <c r="U54" t="s">
        <v>319</v>
      </c>
      <c r="V54" t="s">
        <v>321</v>
      </c>
      <c r="W54" t="s">
        <v>323</v>
      </c>
      <c r="AA54">
        <v>7</v>
      </c>
      <c r="AD54">
        <v>6</v>
      </c>
      <c r="AL54" t="s">
        <v>353</v>
      </c>
      <c r="AM54" t="s">
        <v>320</v>
      </c>
      <c r="AN54" t="s">
        <v>358</v>
      </c>
      <c r="AO54" t="s">
        <v>13</v>
      </c>
    </row>
    <row r="55" spans="1:41" x14ac:dyDescent="0.3">
      <c r="A55" s="10" t="s">
        <v>105</v>
      </c>
      <c r="B55" t="s">
        <v>164</v>
      </c>
      <c r="D55" t="s">
        <v>189</v>
      </c>
      <c r="H55" t="s">
        <v>236</v>
      </c>
      <c r="I55" t="s">
        <v>286</v>
      </c>
      <c r="J55" t="s">
        <v>299</v>
      </c>
      <c r="L55">
        <v>4.03</v>
      </c>
      <c r="M55">
        <v>2023</v>
      </c>
      <c r="O55" t="s">
        <v>311</v>
      </c>
      <c r="P55" t="s">
        <v>314</v>
      </c>
      <c r="R55">
        <v>60</v>
      </c>
      <c r="S55" t="s">
        <v>319</v>
      </c>
      <c r="T55">
        <v>554</v>
      </c>
      <c r="U55" t="s">
        <v>319</v>
      </c>
      <c r="V55" t="s">
        <v>321</v>
      </c>
      <c r="W55" t="s">
        <v>323</v>
      </c>
      <c r="AA55">
        <v>45</v>
      </c>
      <c r="AB55">
        <v>2024</v>
      </c>
      <c r="AD55">
        <v>11</v>
      </c>
      <c r="AE55">
        <v>2009</v>
      </c>
      <c r="AI55" t="s">
        <v>327</v>
      </c>
      <c r="AJ55" t="s">
        <v>346</v>
      </c>
      <c r="AK55" t="s">
        <v>350</v>
      </c>
      <c r="AL55" t="s">
        <v>353</v>
      </c>
      <c r="AM55" t="s">
        <v>320</v>
      </c>
      <c r="AN55" t="s">
        <v>358</v>
      </c>
      <c r="AO55" t="s">
        <v>364</v>
      </c>
    </row>
    <row r="56" spans="1:41" x14ac:dyDescent="0.3">
      <c r="A56" s="10" t="s">
        <v>106</v>
      </c>
      <c r="D56" t="s">
        <v>189</v>
      </c>
      <c r="H56" t="s">
        <v>223</v>
      </c>
      <c r="I56" t="s">
        <v>275</v>
      </c>
      <c r="J56" t="s">
        <v>299</v>
      </c>
      <c r="L56">
        <v>2.13</v>
      </c>
      <c r="M56">
        <v>2025</v>
      </c>
      <c r="O56" t="s">
        <v>311</v>
      </c>
      <c r="P56" t="s">
        <v>314</v>
      </c>
      <c r="R56">
        <v>60</v>
      </c>
      <c r="S56" t="s">
        <v>319</v>
      </c>
      <c r="T56">
        <v>15</v>
      </c>
      <c r="U56" t="s">
        <v>320</v>
      </c>
      <c r="V56" t="s">
        <v>321</v>
      </c>
      <c r="W56" t="s">
        <v>323</v>
      </c>
      <c r="AA56">
        <v>2</v>
      </c>
      <c r="AB56">
        <v>2025</v>
      </c>
      <c r="AD56">
        <v>1</v>
      </c>
      <c r="AE56">
        <v>2002</v>
      </c>
      <c r="AF56">
        <v>2026</v>
      </c>
      <c r="AG56">
        <v>1</v>
      </c>
      <c r="AH56">
        <v>2025</v>
      </c>
      <c r="AI56" t="s">
        <v>327</v>
      </c>
      <c r="AJ56" t="s">
        <v>338</v>
      </c>
      <c r="AK56" t="s">
        <v>350</v>
      </c>
      <c r="AL56" t="s">
        <v>353</v>
      </c>
      <c r="AM56" t="s">
        <v>320</v>
      </c>
      <c r="AN56" t="s">
        <v>360</v>
      </c>
    </row>
    <row r="57" spans="1:41" x14ac:dyDescent="0.3">
      <c r="A57" s="10" t="s">
        <v>107</v>
      </c>
      <c r="D57" t="s">
        <v>188</v>
      </c>
      <c r="E57" t="s">
        <v>193</v>
      </c>
      <c r="H57" t="s">
        <v>237</v>
      </c>
      <c r="I57" t="s">
        <v>287</v>
      </c>
      <c r="J57" t="s">
        <v>301</v>
      </c>
      <c r="L57">
        <v>2.2000000000000002</v>
      </c>
      <c r="O57" t="s">
        <v>311</v>
      </c>
      <c r="P57" t="s">
        <v>314</v>
      </c>
      <c r="R57">
        <v>60</v>
      </c>
      <c r="S57" t="s">
        <v>319</v>
      </c>
      <c r="T57">
        <v>479</v>
      </c>
      <c r="U57" t="s">
        <v>319</v>
      </c>
      <c r="V57" t="s">
        <v>321</v>
      </c>
      <c r="W57" t="s">
        <v>323</v>
      </c>
      <c r="AA57">
        <v>10</v>
      </c>
      <c r="AB57">
        <v>2022</v>
      </c>
      <c r="AC57">
        <v>23</v>
      </c>
      <c r="AD57">
        <v>5</v>
      </c>
      <c r="AE57">
        <v>2019</v>
      </c>
      <c r="AG57">
        <v>4</v>
      </c>
      <c r="AL57" t="s">
        <v>353</v>
      </c>
      <c r="AM57" t="s">
        <v>320</v>
      </c>
      <c r="AN57" t="s">
        <v>358</v>
      </c>
      <c r="AO57" t="s">
        <v>364</v>
      </c>
    </row>
    <row r="58" spans="1:41" x14ac:dyDescent="0.3">
      <c r="A58" s="10" t="s">
        <v>108</v>
      </c>
      <c r="D58" t="s">
        <v>188</v>
      </c>
      <c r="E58" t="s">
        <v>193</v>
      </c>
      <c r="H58" t="s">
        <v>238</v>
      </c>
      <c r="I58" t="s">
        <v>288</v>
      </c>
      <c r="J58" t="s">
        <v>299</v>
      </c>
      <c r="L58">
        <v>1.2</v>
      </c>
      <c r="O58" t="s">
        <v>311</v>
      </c>
      <c r="P58" t="s">
        <v>314</v>
      </c>
      <c r="R58">
        <v>60</v>
      </c>
      <c r="S58" t="s">
        <v>319</v>
      </c>
      <c r="T58">
        <v>0</v>
      </c>
      <c r="V58" t="s">
        <v>321</v>
      </c>
      <c r="W58" t="s">
        <v>323</v>
      </c>
      <c r="AA58">
        <v>0</v>
      </c>
      <c r="AE58">
        <v>2013</v>
      </c>
      <c r="AJ58" t="s">
        <v>335</v>
      </c>
      <c r="AK58" t="s">
        <v>350</v>
      </c>
      <c r="AL58" t="s">
        <v>353</v>
      </c>
      <c r="AM58" t="s">
        <v>320</v>
      </c>
      <c r="AN58" t="s">
        <v>358</v>
      </c>
      <c r="AO58" t="s">
        <v>364</v>
      </c>
    </row>
    <row r="59" spans="1:41" x14ac:dyDescent="0.3">
      <c r="A59" s="10" t="s">
        <v>109</v>
      </c>
      <c r="B59" t="s">
        <v>165</v>
      </c>
      <c r="D59" t="s">
        <v>188</v>
      </c>
      <c r="G59" t="s">
        <v>200</v>
      </c>
      <c r="H59" t="s">
        <v>239</v>
      </c>
      <c r="I59" t="s">
        <v>289</v>
      </c>
      <c r="J59" t="s">
        <v>299</v>
      </c>
      <c r="L59">
        <v>2</v>
      </c>
      <c r="O59" t="s">
        <v>312</v>
      </c>
      <c r="P59" t="s">
        <v>315</v>
      </c>
      <c r="R59">
        <v>60</v>
      </c>
      <c r="S59" t="s">
        <v>319</v>
      </c>
      <c r="T59">
        <v>0</v>
      </c>
      <c r="V59" t="s">
        <v>322</v>
      </c>
      <c r="W59" t="s">
        <v>323</v>
      </c>
      <c r="AA59">
        <v>1</v>
      </c>
      <c r="AC59">
        <v>100</v>
      </c>
      <c r="AD59">
        <v>1</v>
      </c>
      <c r="AE59">
        <v>1957</v>
      </c>
      <c r="AG59">
        <v>1</v>
      </c>
      <c r="AJ59" t="s">
        <v>347</v>
      </c>
      <c r="AK59" t="s">
        <v>352</v>
      </c>
      <c r="AL59" t="s">
        <v>353</v>
      </c>
      <c r="AM59" t="s">
        <v>320</v>
      </c>
      <c r="AN59" t="s">
        <v>360</v>
      </c>
      <c r="AO59" t="s">
        <v>363</v>
      </c>
    </row>
    <row r="60" spans="1:41" x14ac:dyDescent="0.3">
      <c r="A60" s="10" t="s">
        <v>110</v>
      </c>
      <c r="B60" t="s">
        <v>166</v>
      </c>
      <c r="C60" t="s">
        <v>182</v>
      </c>
      <c r="D60" t="s">
        <v>189</v>
      </c>
      <c r="H60" t="s">
        <v>201</v>
      </c>
      <c r="I60" t="s">
        <v>253</v>
      </c>
      <c r="J60" t="s">
        <v>299</v>
      </c>
      <c r="L60">
        <v>5.6</v>
      </c>
      <c r="M60">
        <v>2025</v>
      </c>
      <c r="O60" t="s">
        <v>310</v>
      </c>
      <c r="R60">
        <v>155</v>
      </c>
      <c r="S60" t="s">
        <v>320</v>
      </c>
      <c r="T60">
        <v>1200</v>
      </c>
      <c r="U60" t="s">
        <v>320</v>
      </c>
      <c r="V60" t="s">
        <v>321</v>
      </c>
      <c r="W60" t="s">
        <v>323</v>
      </c>
      <c r="AA60">
        <v>115</v>
      </c>
      <c r="AB60">
        <v>2025</v>
      </c>
      <c r="AC60">
        <v>339</v>
      </c>
      <c r="AD60">
        <v>21</v>
      </c>
      <c r="AE60">
        <v>2018</v>
      </c>
      <c r="AG60">
        <v>30</v>
      </c>
      <c r="AI60" t="s">
        <v>328</v>
      </c>
      <c r="AJ60" t="s">
        <v>339</v>
      </c>
      <c r="AK60" t="s">
        <v>352</v>
      </c>
      <c r="AL60" t="s">
        <v>353</v>
      </c>
      <c r="AM60" t="s">
        <v>320</v>
      </c>
      <c r="AN60" t="s">
        <v>361</v>
      </c>
    </row>
    <row r="61" spans="1:41" x14ac:dyDescent="0.3">
      <c r="A61" s="10" t="s">
        <v>111</v>
      </c>
      <c r="D61" t="s">
        <v>186</v>
      </c>
      <c r="E61" t="s">
        <v>191</v>
      </c>
      <c r="F61" t="s">
        <v>196</v>
      </c>
      <c r="H61" t="s">
        <v>240</v>
      </c>
      <c r="I61" t="s">
        <v>290</v>
      </c>
      <c r="J61" t="s">
        <v>305</v>
      </c>
      <c r="K61">
        <v>1.81</v>
      </c>
      <c r="L61">
        <v>0</v>
      </c>
      <c r="O61" t="s">
        <v>310</v>
      </c>
      <c r="P61" t="s">
        <v>315</v>
      </c>
      <c r="R61">
        <v>60</v>
      </c>
      <c r="S61" t="s">
        <v>319</v>
      </c>
      <c r="T61">
        <v>500</v>
      </c>
      <c r="U61" t="s">
        <v>319</v>
      </c>
      <c r="V61" t="s">
        <v>322</v>
      </c>
      <c r="W61" t="s">
        <v>323</v>
      </c>
      <c r="AA61">
        <v>87</v>
      </c>
      <c r="AD61">
        <v>48</v>
      </c>
      <c r="AG61">
        <v>8</v>
      </c>
      <c r="AI61" t="s">
        <v>327</v>
      </c>
      <c r="AJ61" t="s">
        <v>335</v>
      </c>
      <c r="AK61" t="s">
        <v>350</v>
      </c>
      <c r="AL61" t="s">
        <v>353</v>
      </c>
      <c r="AM61" t="s">
        <v>357</v>
      </c>
      <c r="AN61" t="s">
        <v>361</v>
      </c>
    </row>
    <row r="62" spans="1:41" x14ac:dyDescent="0.3">
      <c r="A62" s="10" t="s">
        <v>112</v>
      </c>
      <c r="D62" t="s">
        <v>186</v>
      </c>
      <c r="E62" t="s">
        <v>191</v>
      </c>
      <c r="F62" t="s">
        <v>196</v>
      </c>
      <c r="H62" t="s">
        <v>210</v>
      </c>
      <c r="I62" t="s">
        <v>262</v>
      </c>
      <c r="J62" t="s">
        <v>299</v>
      </c>
      <c r="K62">
        <v>1.25</v>
      </c>
      <c r="L62">
        <v>0</v>
      </c>
      <c r="O62" t="s">
        <v>310</v>
      </c>
      <c r="P62" t="s">
        <v>313</v>
      </c>
      <c r="Q62">
        <v>79.260000000000005</v>
      </c>
      <c r="R62">
        <v>80</v>
      </c>
      <c r="S62" t="s">
        <v>319</v>
      </c>
      <c r="T62">
        <v>0</v>
      </c>
      <c r="V62" t="s">
        <v>321</v>
      </c>
      <c r="W62" t="s">
        <v>323</v>
      </c>
      <c r="AA62">
        <v>0</v>
      </c>
      <c r="AC62">
        <v>91</v>
      </c>
      <c r="AG62">
        <v>15</v>
      </c>
      <c r="AI62" t="s">
        <v>328</v>
      </c>
      <c r="AJ62" t="s">
        <v>333</v>
      </c>
      <c r="AK62" t="s">
        <v>352</v>
      </c>
      <c r="AL62" t="s">
        <v>353</v>
      </c>
      <c r="AM62" t="s">
        <v>357</v>
      </c>
      <c r="AN62" t="s">
        <v>359</v>
      </c>
    </row>
    <row r="63" spans="1:41" x14ac:dyDescent="0.3">
      <c r="A63" s="10" t="s">
        <v>113</v>
      </c>
      <c r="D63" t="s">
        <v>188</v>
      </c>
      <c r="H63" t="s">
        <v>241</v>
      </c>
      <c r="I63" t="s">
        <v>291</v>
      </c>
      <c r="J63" t="s">
        <v>299</v>
      </c>
      <c r="L63">
        <v>3</v>
      </c>
      <c r="O63" t="s">
        <v>311</v>
      </c>
      <c r="P63" t="s">
        <v>314</v>
      </c>
      <c r="R63">
        <v>60</v>
      </c>
      <c r="S63" t="s">
        <v>319</v>
      </c>
      <c r="T63">
        <v>0</v>
      </c>
      <c r="V63" t="s">
        <v>321</v>
      </c>
      <c r="W63" t="s">
        <v>323</v>
      </c>
      <c r="AA63">
        <v>40</v>
      </c>
      <c r="AD63">
        <v>13</v>
      </c>
      <c r="AI63" t="s">
        <v>327</v>
      </c>
      <c r="AJ63" t="s">
        <v>335</v>
      </c>
      <c r="AL63" t="s">
        <v>353</v>
      </c>
      <c r="AM63" t="s">
        <v>320</v>
      </c>
    </row>
    <row r="64" spans="1:41" x14ac:dyDescent="0.3">
      <c r="A64" s="10" t="s">
        <v>114</v>
      </c>
      <c r="B64" t="s">
        <v>167</v>
      </c>
      <c r="D64" t="s">
        <v>186</v>
      </c>
      <c r="E64" t="s">
        <v>191</v>
      </c>
      <c r="F64" t="s">
        <v>196</v>
      </c>
      <c r="H64" t="s">
        <v>213</v>
      </c>
      <c r="I64" t="s">
        <v>265</v>
      </c>
      <c r="J64" t="s">
        <v>299</v>
      </c>
      <c r="K64">
        <v>7.2</v>
      </c>
      <c r="L64">
        <v>0</v>
      </c>
      <c r="O64" t="s">
        <v>311</v>
      </c>
      <c r="P64" t="s">
        <v>314</v>
      </c>
      <c r="R64">
        <v>50</v>
      </c>
      <c r="S64" t="s">
        <v>319</v>
      </c>
      <c r="T64">
        <v>550</v>
      </c>
      <c r="U64" t="s">
        <v>319</v>
      </c>
      <c r="V64" t="s">
        <v>322</v>
      </c>
      <c r="W64" t="s">
        <v>323</v>
      </c>
      <c r="AA64">
        <v>0</v>
      </c>
      <c r="AG64">
        <v>30</v>
      </c>
      <c r="AJ64" t="s">
        <v>348</v>
      </c>
      <c r="AL64" t="s">
        <v>354</v>
      </c>
      <c r="AM64" t="s">
        <v>357</v>
      </c>
    </row>
    <row r="65" spans="1:41" x14ac:dyDescent="0.3">
      <c r="A65" s="10" t="s">
        <v>115</v>
      </c>
      <c r="B65" t="s">
        <v>168</v>
      </c>
      <c r="C65" t="s">
        <v>182</v>
      </c>
      <c r="D65" t="s">
        <v>189</v>
      </c>
      <c r="H65" t="s">
        <v>201</v>
      </c>
      <c r="I65" t="s">
        <v>253</v>
      </c>
      <c r="J65" t="s">
        <v>299</v>
      </c>
      <c r="K65">
        <v>6</v>
      </c>
      <c r="L65">
        <v>8.4</v>
      </c>
      <c r="M65">
        <v>2025</v>
      </c>
      <c r="O65" t="s">
        <v>310</v>
      </c>
      <c r="P65" t="s">
        <v>313</v>
      </c>
      <c r="R65">
        <v>90</v>
      </c>
      <c r="S65" t="s">
        <v>320</v>
      </c>
      <c r="T65">
        <v>1279</v>
      </c>
      <c r="U65" t="s">
        <v>319</v>
      </c>
      <c r="V65" t="s">
        <v>321</v>
      </c>
      <c r="W65" t="s">
        <v>323</v>
      </c>
      <c r="AA65">
        <v>124</v>
      </c>
      <c r="AB65">
        <v>2025</v>
      </c>
      <c r="AC65">
        <v>344</v>
      </c>
      <c r="AD65">
        <v>15</v>
      </c>
      <c r="AE65">
        <v>1989</v>
      </c>
      <c r="AI65" t="s">
        <v>328</v>
      </c>
      <c r="AJ65" t="s">
        <v>332</v>
      </c>
      <c r="AK65" t="s">
        <v>352</v>
      </c>
      <c r="AL65" t="s">
        <v>353</v>
      </c>
      <c r="AM65" t="s">
        <v>320</v>
      </c>
      <c r="AN65" t="s">
        <v>358</v>
      </c>
      <c r="AO65" t="s">
        <v>365</v>
      </c>
    </row>
    <row r="66" spans="1:41" x14ac:dyDescent="0.3">
      <c r="A66" s="10" t="s">
        <v>116</v>
      </c>
      <c r="D66" t="s">
        <v>186</v>
      </c>
      <c r="E66" t="s">
        <v>194</v>
      </c>
      <c r="F66" t="s">
        <v>196</v>
      </c>
      <c r="H66" t="s">
        <v>242</v>
      </c>
      <c r="I66" t="s">
        <v>257</v>
      </c>
      <c r="J66" t="s">
        <v>299</v>
      </c>
      <c r="K66">
        <v>3</v>
      </c>
      <c r="L66">
        <v>0</v>
      </c>
      <c r="O66" t="s">
        <v>311</v>
      </c>
      <c r="P66" t="s">
        <v>314</v>
      </c>
      <c r="R66">
        <v>50</v>
      </c>
      <c r="S66" t="s">
        <v>319</v>
      </c>
      <c r="T66">
        <v>0</v>
      </c>
      <c r="V66" t="s">
        <v>322</v>
      </c>
      <c r="W66" t="s">
        <v>323</v>
      </c>
      <c r="AA66">
        <v>130</v>
      </c>
      <c r="AB66">
        <v>2024</v>
      </c>
      <c r="AC66">
        <v>1019</v>
      </c>
      <c r="AD66">
        <v>43</v>
      </c>
      <c r="AG66">
        <v>22</v>
      </c>
      <c r="AL66" t="s">
        <v>356</v>
      </c>
      <c r="AM66" t="s">
        <v>320</v>
      </c>
      <c r="AN66" t="s">
        <v>361</v>
      </c>
    </row>
    <row r="67" spans="1:41" x14ac:dyDescent="0.3">
      <c r="A67" s="10" t="s">
        <v>117</v>
      </c>
      <c r="B67" t="s">
        <v>169</v>
      </c>
      <c r="D67" t="s">
        <v>186</v>
      </c>
      <c r="E67" t="s">
        <v>195</v>
      </c>
      <c r="F67" t="s">
        <v>196</v>
      </c>
      <c r="H67" t="s">
        <v>213</v>
      </c>
      <c r="I67" t="s">
        <v>265</v>
      </c>
      <c r="J67" t="s">
        <v>299</v>
      </c>
      <c r="K67">
        <v>1.2</v>
      </c>
      <c r="L67">
        <v>0</v>
      </c>
      <c r="O67" t="s">
        <v>312</v>
      </c>
      <c r="P67" t="s">
        <v>315</v>
      </c>
      <c r="R67">
        <v>60</v>
      </c>
      <c r="S67" t="s">
        <v>319</v>
      </c>
      <c r="T67">
        <v>500</v>
      </c>
      <c r="U67" t="s">
        <v>320</v>
      </c>
      <c r="V67" t="s">
        <v>322</v>
      </c>
      <c r="W67" t="s">
        <v>323</v>
      </c>
      <c r="AA67">
        <v>0</v>
      </c>
      <c r="AC67">
        <v>19</v>
      </c>
      <c r="AG67">
        <v>11</v>
      </c>
      <c r="AI67" t="s">
        <v>328</v>
      </c>
      <c r="AJ67" t="s">
        <v>333</v>
      </c>
      <c r="AK67" t="s">
        <v>352</v>
      </c>
      <c r="AL67" t="s">
        <v>353</v>
      </c>
      <c r="AM67" t="s">
        <v>357</v>
      </c>
    </row>
    <row r="68" spans="1:41" x14ac:dyDescent="0.3">
      <c r="A68" s="10" t="s">
        <v>118</v>
      </c>
      <c r="B68" t="s">
        <v>138</v>
      </c>
      <c r="C68" t="s">
        <v>183</v>
      </c>
      <c r="D68" t="s">
        <v>189</v>
      </c>
      <c r="H68" t="s">
        <v>243</v>
      </c>
      <c r="I68" t="s">
        <v>270</v>
      </c>
      <c r="J68" t="s">
        <v>299</v>
      </c>
      <c r="L68">
        <v>0.42</v>
      </c>
      <c r="M68">
        <v>2020</v>
      </c>
      <c r="O68" t="s">
        <v>312</v>
      </c>
      <c r="P68" t="s">
        <v>315</v>
      </c>
      <c r="R68">
        <v>60</v>
      </c>
      <c r="S68" t="s">
        <v>319</v>
      </c>
      <c r="T68">
        <v>600</v>
      </c>
      <c r="U68" t="s">
        <v>320</v>
      </c>
      <c r="V68" t="s">
        <v>321</v>
      </c>
      <c r="W68" t="s">
        <v>324</v>
      </c>
      <c r="X68">
        <v>50</v>
      </c>
      <c r="Y68">
        <v>50</v>
      </c>
      <c r="Z68" t="s">
        <v>325</v>
      </c>
      <c r="AA68">
        <v>0</v>
      </c>
      <c r="AG68">
        <v>11</v>
      </c>
      <c r="AI68" t="s">
        <v>327</v>
      </c>
      <c r="AJ68" t="s">
        <v>330</v>
      </c>
      <c r="AK68" t="s">
        <v>350</v>
      </c>
      <c r="AL68" t="s">
        <v>353</v>
      </c>
      <c r="AM68" t="s">
        <v>357</v>
      </c>
    </row>
    <row r="69" spans="1:41" x14ac:dyDescent="0.3">
      <c r="A69" s="10" t="s">
        <v>119</v>
      </c>
      <c r="B69" t="s">
        <v>170</v>
      </c>
      <c r="D69" t="s">
        <v>189</v>
      </c>
      <c r="H69" t="s">
        <v>244</v>
      </c>
      <c r="I69" t="s">
        <v>292</v>
      </c>
      <c r="J69" t="s">
        <v>305</v>
      </c>
      <c r="L69">
        <v>8.9</v>
      </c>
      <c r="M69">
        <v>2024</v>
      </c>
      <c r="O69" t="s">
        <v>312</v>
      </c>
      <c r="P69" t="s">
        <v>315</v>
      </c>
      <c r="R69">
        <v>60</v>
      </c>
      <c r="S69" t="s">
        <v>319</v>
      </c>
      <c r="T69">
        <v>750</v>
      </c>
      <c r="U69" t="s">
        <v>320</v>
      </c>
      <c r="V69" t="s">
        <v>321</v>
      </c>
      <c r="W69" t="s">
        <v>323</v>
      </c>
      <c r="AA69">
        <v>134</v>
      </c>
      <c r="AB69">
        <v>2024</v>
      </c>
      <c r="AC69">
        <v>810</v>
      </c>
      <c r="AD69">
        <v>15</v>
      </c>
      <c r="AI69" t="s">
        <v>327</v>
      </c>
      <c r="AK69" t="s">
        <v>350</v>
      </c>
      <c r="AL69" t="s">
        <v>353</v>
      </c>
      <c r="AM69" t="s">
        <v>320</v>
      </c>
    </row>
    <row r="70" spans="1:41" x14ac:dyDescent="0.3">
      <c r="A70" s="10" t="s">
        <v>120</v>
      </c>
      <c r="B70" t="s">
        <v>171</v>
      </c>
      <c r="C70" t="s">
        <v>182</v>
      </c>
      <c r="D70" t="s">
        <v>189</v>
      </c>
      <c r="H70" t="s">
        <v>201</v>
      </c>
      <c r="I70" t="s">
        <v>253</v>
      </c>
      <c r="J70" t="s">
        <v>299</v>
      </c>
      <c r="L70">
        <v>7.5</v>
      </c>
      <c r="M70">
        <v>2025</v>
      </c>
      <c r="O70" t="s">
        <v>310</v>
      </c>
      <c r="P70" t="s">
        <v>313</v>
      </c>
      <c r="Q70">
        <v>18</v>
      </c>
      <c r="R70">
        <v>160</v>
      </c>
      <c r="S70" t="s">
        <v>320</v>
      </c>
      <c r="T70">
        <v>1600</v>
      </c>
      <c r="U70" t="s">
        <v>320</v>
      </c>
      <c r="V70" t="s">
        <v>321</v>
      </c>
      <c r="W70" t="s">
        <v>323</v>
      </c>
      <c r="AA70">
        <v>202</v>
      </c>
      <c r="AB70">
        <v>2025</v>
      </c>
      <c r="AC70">
        <v>496</v>
      </c>
      <c r="AD70">
        <v>27</v>
      </c>
      <c r="AE70">
        <v>1980</v>
      </c>
      <c r="AG70">
        <v>25</v>
      </c>
      <c r="AI70" t="s">
        <v>328</v>
      </c>
      <c r="AJ70" t="s">
        <v>332</v>
      </c>
      <c r="AK70" t="s">
        <v>352</v>
      </c>
      <c r="AL70" t="s">
        <v>353</v>
      </c>
      <c r="AM70" t="s">
        <v>320</v>
      </c>
      <c r="AN70" t="s">
        <v>358</v>
      </c>
      <c r="AO70" t="s">
        <v>365</v>
      </c>
    </row>
    <row r="71" spans="1:41" x14ac:dyDescent="0.3">
      <c r="A71" s="10" t="s">
        <v>121</v>
      </c>
      <c r="B71" t="s">
        <v>172</v>
      </c>
      <c r="D71" t="s">
        <v>188</v>
      </c>
      <c r="E71" t="s">
        <v>193</v>
      </c>
      <c r="H71" t="s">
        <v>245</v>
      </c>
      <c r="I71" t="s">
        <v>263</v>
      </c>
      <c r="J71" t="s">
        <v>307</v>
      </c>
      <c r="K71">
        <v>0.9</v>
      </c>
      <c r="L71">
        <v>0.83</v>
      </c>
      <c r="M71">
        <v>2023</v>
      </c>
      <c r="O71" t="s">
        <v>311</v>
      </c>
      <c r="P71" t="s">
        <v>314</v>
      </c>
      <c r="R71">
        <v>60</v>
      </c>
      <c r="S71" t="s">
        <v>319</v>
      </c>
      <c r="T71">
        <v>689</v>
      </c>
      <c r="U71" t="s">
        <v>320</v>
      </c>
      <c r="V71" t="s">
        <v>321</v>
      </c>
      <c r="W71" t="s">
        <v>323</v>
      </c>
      <c r="AA71">
        <v>6</v>
      </c>
      <c r="AB71">
        <v>2024</v>
      </c>
      <c r="AC71">
        <v>37</v>
      </c>
      <c r="AD71">
        <v>8</v>
      </c>
      <c r="AE71">
        <v>2020</v>
      </c>
      <c r="AG71">
        <v>5</v>
      </c>
      <c r="AH71">
        <v>2022</v>
      </c>
      <c r="AI71" t="s">
        <v>327</v>
      </c>
      <c r="AJ71" t="s">
        <v>335</v>
      </c>
      <c r="AK71" t="s">
        <v>350</v>
      </c>
      <c r="AL71" t="s">
        <v>353</v>
      </c>
      <c r="AM71" t="s">
        <v>320</v>
      </c>
      <c r="AN71" t="s">
        <v>358</v>
      </c>
      <c r="AO71" t="s">
        <v>364</v>
      </c>
    </row>
    <row r="72" spans="1:41" x14ac:dyDescent="0.3">
      <c r="A72" s="10" t="s">
        <v>122</v>
      </c>
      <c r="B72" t="s">
        <v>173</v>
      </c>
      <c r="D72" t="s">
        <v>186</v>
      </c>
      <c r="E72" t="s">
        <v>191</v>
      </c>
      <c r="F72" t="s">
        <v>196</v>
      </c>
      <c r="H72" t="s">
        <v>213</v>
      </c>
      <c r="I72" t="s">
        <v>265</v>
      </c>
      <c r="J72" t="s">
        <v>299</v>
      </c>
      <c r="K72">
        <v>0.6</v>
      </c>
      <c r="L72">
        <v>0</v>
      </c>
      <c r="O72" t="s">
        <v>311</v>
      </c>
      <c r="P72" t="s">
        <v>314</v>
      </c>
      <c r="R72">
        <v>50</v>
      </c>
      <c r="S72" t="s">
        <v>319</v>
      </c>
      <c r="T72">
        <v>0</v>
      </c>
      <c r="V72" t="s">
        <v>322</v>
      </c>
      <c r="W72" t="s">
        <v>323</v>
      </c>
      <c r="AA72">
        <v>0</v>
      </c>
      <c r="AG72">
        <v>8</v>
      </c>
      <c r="AJ72" t="s">
        <v>330</v>
      </c>
      <c r="AL72" t="s">
        <v>353</v>
      </c>
      <c r="AM72" t="s">
        <v>357</v>
      </c>
    </row>
    <row r="73" spans="1:41" x14ac:dyDescent="0.3">
      <c r="A73" s="10" t="s">
        <v>123</v>
      </c>
      <c r="B73" t="s">
        <v>174</v>
      </c>
      <c r="D73" t="s">
        <v>189</v>
      </c>
      <c r="H73" t="s">
        <v>246</v>
      </c>
      <c r="I73" t="s">
        <v>293</v>
      </c>
      <c r="J73" t="s">
        <v>299</v>
      </c>
      <c r="L73">
        <v>0</v>
      </c>
      <c r="O73" t="s">
        <v>311</v>
      </c>
      <c r="P73" t="s">
        <v>314</v>
      </c>
      <c r="R73">
        <v>60</v>
      </c>
      <c r="S73" t="s">
        <v>319</v>
      </c>
      <c r="T73">
        <v>0</v>
      </c>
      <c r="V73" t="s">
        <v>321</v>
      </c>
      <c r="W73" t="s">
        <v>323</v>
      </c>
      <c r="AA73">
        <v>0</v>
      </c>
      <c r="AG73">
        <v>12</v>
      </c>
      <c r="AH73">
        <v>2016</v>
      </c>
      <c r="AI73" t="s">
        <v>327</v>
      </c>
      <c r="AK73" t="s">
        <v>351</v>
      </c>
      <c r="AL73" t="s">
        <v>353</v>
      </c>
      <c r="AM73" t="s">
        <v>320</v>
      </c>
      <c r="AN73" t="s">
        <v>359</v>
      </c>
    </row>
    <row r="74" spans="1:41" x14ac:dyDescent="0.3">
      <c r="A74" s="10" t="s">
        <v>124</v>
      </c>
      <c r="B74" t="s">
        <v>175</v>
      </c>
      <c r="D74" t="s">
        <v>189</v>
      </c>
      <c r="H74" t="s">
        <v>247</v>
      </c>
      <c r="I74" t="s">
        <v>294</v>
      </c>
      <c r="J74" t="s">
        <v>299</v>
      </c>
      <c r="K74">
        <v>2</v>
      </c>
      <c r="L74">
        <v>1</v>
      </c>
      <c r="O74" t="s">
        <v>311</v>
      </c>
      <c r="P74" t="s">
        <v>314</v>
      </c>
      <c r="R74">
        <v>60</v>
      </c>
      <c r="S74" t="s">
        <v>319</v>
      </c>
      <c r="T74">
        <v>300</v>
      </c>
      <c r="U74" t="s">
        <v>320</v>
      </c>
      <c r="V74" t="s">
        <v>321</v>
      </c>
      <c r="W74" t="s">
        <v>323</v>
      </c>
      <c r="AA74">
        <v>56</v>
      </c>
      <c r="AD74">
        <v>56</v>
      </c>
      <c r="AE74">
        <v>2011</v>
      </c>
      <c r="AG74">
        <v>25</v>
      </c>
      <c r="AK74" t="s">
        <v>327</v>
      </c>
      <c r="AL74" t="s">
        <v>353</v>
      </c>
      <c r="AM74" t="s">
        <v>320</v>
      </c>
      <c r="AN74" t="s">
        <v>358</v>
      </c>
      <c r="AO74" t="s">
        <v>11</v>
      </c>
    </row>
    <row r="75" spans="1:41" x14ac:dyDescent="0.3">
      <c r="A75" s="10" t="s">
        <v>125</v>
      </c>
      <c r="B75" t="s">
        <v>176</v>
      </c>
      <c r="D75" t="s">
        <v>189</v>
      </c>
      <c r="H75" t="s">
        <v>248</v>
      </c>
      <c r="I75" t="s">
        <v>295</v>
      </c>
      <c r="J75" t="s">
        <v>302</v>
      </c>
      <c r="L75">
        <v>0.96</v>
      </c>
      <c r="M75">
        <v>2020</v>
      </c>
      <c r="O75" t="s">
        <v>311</v>
      </c>
      <c r="P75" t="s">
        <v>314</v>
      </c>
      <c r="R75">
        <v>60</v>
      </c>
      <c r="S75" t="s">
        <v>319</v>
      </c>
      <c r="T75">
        <v>367</v>
      </c>
      <c r="U75" t="s">
        <v>319</v>
      </c>
      <c r="V75" t="s">
        <v>321</v>
      </c>
      <c r="W75" t="s">
        <v>323</v>
      </c>
      <c r="AA75">
        <v>0</v>
      </c>
      <c r="AC75">
        <v>7</v>
      </c>
      <c r="AE75">
        <v>2010</v>
      </c>
      <c r="AG75">
        <v>6</v>
      </c>
      <c r="AI75" t="s">
        <v>327</v>
      </c>
      <c r="AJ75" t="s">
        <v>338</v>
      </c>
      <c r="AL75" t="s">
        <v>353</v>
      </c>
      <c r="AM75" t="s">
        <v>320</v>
      </c>
    </row>
    <row r="76" spans="1:41" x14ac:dyDescent="0.3">
      <c r="A76" s="10" t="s">
        <v>126</v>
      </c>
      <c r="B76" t="s">
        <v>177</v>
      </c>
      <c r="D76" t="s">
        <v>189</v>
      </c>
      <c r="H76" t="s">
        <v>228</v>
      </c>
      <c r="I76" t="s">
        <v>279</v>
      </c>
      <c r="J76" t="s">
        <v>299</v>
      </c>
      <c r="K76">
        <v>2.5</v>
      </c>
      <c r="L76">
        <v>0</v>
      </c>
      <c r="O76" t="s">
        <v>312</v>
      </c>
      <c r="P76" t="s">
        <v>315</v>
      </c>
      <c r="R76">
        <v>60</v>
      </c>
      <c r="S76" t="s">
        <v>319</v>
      </c>
      <c r="T76">
        <v>319</v>
      </c>
      <c r="U76" t="s">
        <v>319</v>
      </c>
      <c r="V76" t="s">
        <v>322</v>
      </c>
      <c r="W76" t="s">
        <v>323</v>
      </c>
      <c r="AA76">
        <v>0</v>
      </c>
      <c r="AC76">
        <v>82</v>
      </c>
      <c r="AE76">
        <v>2022</v>
      </c>
      <c r="AI76" t="s">
        <v>328</v>
      </c>
      <c r="AJ76" t="s">
        <v>329</v>
      </c>
      <c r="AK76" t="s">
        <v>350</v>
      </c>
      <c r="AL76" t="s">
        <v>353</v>
      </c>
      <c r="AM76" t="s">
        <v>357</v>
      </c>
    </row>
    <row r="77" spans="1:41" x14ac:dyDescent="0.3">
      <c r="A77" s="10" t="s">
        <v>127</v>
      </c>
      <c r="B77" t="s">
        <v>178</v>
      </c>
      <c r="D77" t="s">
        <v>186</v>
      </c>
      <c r="E77" t="s">
        <v>195</v>
      </c>
      <c r="F77" t="s">
        <v>197</v>
      </c>
      <c r="H77" t="s">
        <v>221</v>
      </c>
      <c r="I77" t="s">
        <v>273</v>
      </c>
      <c r="J77" t="s">
        <v>300</v>
      </c>
      <c r="K77">
        <v>5</v>
      </c>
      <c r="L77">
        <v>0</v>
      </c>
      <c r="O77" t="s">
        <v>312</v>
      </c>
      <c r="P77" t="s">
        <v>315</v>
      </c>
      <c r="R77">
        <v>60</v>
      </c>
      <c r="S77" t="s">
        <v>319</v>
      </c>
      <c r="T77">
        <v>740</v>
      </c>
      <c r="U77" t="s">
        <v>320</v>
      </c>
      <c r="V77" t="s">
        <v>321</v>
      </c>
      <c r="W77" t="s">
        <v>323</v>
      </c>
      <c r="AA77">
        <v>0</v>
      </c>
      <c r="AG77">
        <v>20</v>
      </c>
      <c r="AI77" t="s">
        <v>327</v>
      </c>
      <c r="AJ77" t="s">
        <v>349</v>
      </c>
      <c r="AK77" t="s">
        <v>350</v>
      </c>
      <c r="AL77" t="s">
        <v>353</v>
      </c>
      <c r="AM77" t="s">
        <v>320</v>
      </c>
    </row>
    <row r="78" spans="1:41" x14ac:dyDescent="0.3">
      <c r="A78" s="10" t="s">
        <v>128</v>
      </c>
      <c r="D78" t="s">
        <v>189</v>
      </c>
      <c r="H78" t="s">
        <v>249</v>
      </c>
      <c r="I78" t="s">
        <v>296</v>
      </c>
      <c r="J78" t="s">
        <v>299</v>
      </c>
      <c r="K78">
        <v>1.8</v>
      </c>
      <c r="L78">
        <v>0</v>
      </c>
      <c r="O78" t="s">
        <v>311</v>
      </c>
      <c r="P78" t="s">
        <v>314</v>
      </c>
      <c r="Q78">
        <v>2.5</v>
      </c>
      <c r="R78">
        <v>33</v>
      </c>
      <c r="S78" t="s">
        <v>320</v>
      </c>
      <c r="T78">
        <v>293</v>
      </c>
      <c r="U78" t="s">
        <v>319</v>
      </c>
      <c r="V78" t="s">
        <v>321</v>
      </c>
      <c r="W78" t="s">
        <v>323</v>
      </c>
      <c r="AA78">
        <v>14</v>
      </c>
      <c r="AG78">
        <v>7</v>
      </c>
      <c r="AI78" t="s">
        <v>327</v>
      </c>
      <c r="AJ78" t="s">
        <v>349</v>
      </c>
      <c r="AK78" t="s">
        <v>350</v>
      </c>
      <c r="AL78" t="s">
        <v>353</v>
      </c>
      <c r="AM78" t="s">
        <v>357</v>
      </c>
      <c r="AN78" t="s">
        <v>360</v>
      </c>
    </row>
    <row r="79" spans="1:41" x14ac:dyDescent="0.3">
      <c r="A79" s="10" t="s">
        <v>129</v>
      </c>
      <c r="D79" t="s">
        <v>188</v>
      </c>
      <c r="H79" t="s">
        <v>250</v>
      </c>
      <c r="I79" t="s">
        <v>297</v>
      </c>
      <c r="J79" t="s">
        <v>299</v>
      </c>
      <c r="K79">
        <v>1.85</v>
      </c>
      <c r="L79">
        <v>0</v>
      </c>
      <c r="O79" t="s">
        <v>311</v>
      </c>
      <c r="P79" t="s">
        <v>314</v>
      </c>
      <c r="R79">
        <v>60</v>
      </c>
      <c r="S79" t="s">
        <v>319</v>
      </c>
      <c r="T79">
        <v>436</v>
      </c>
      <c r="U79" t="s">
        <v>319</v>
      </c>
      <c r="V79" t="s">
        <v>321</v>
      </c>
      <c r="W79" t="s">
        <v>323</v>
      </c>
      <c r="AA79">
        <v>20</v>
      </c>
      <c r="AD79">
        <v>11</v>
      </c>
      <c r="AE79">
        <v>1986</v>
      </c>
      <c r="AK79" t="s">
        <v>330</v>
      </c>
      <c r="AL79" t="s">
        <v>353</v>
      </c>
      <c r="AM79" t="s">
        <v>320</v>
      </c>
      <c r="AN79" t="s">
        <v>360</v>
      </c>
      <c r="AO79" t="s">
        <v>363</v>
      </c>
    </row>
    <row r="80" spans="1:41" x14ac:dyDescent="0.3">
      <c r="A80" s="10" t="s">
        <v>130</v>
      </c>
      <c r="B80" t="s">
        <v>179</v>
      </c>
      <c r="D80" t="s">
        <v>189</v>
      </c>
      <c r="H80" t="s">
        <v>240</v>
      </c>
      <c r="I80" t="s">
        <v>290</v>
      </c>
      <c r="J80" t="s">
        <v>305</v>
      </c>
      <c r="K80">
        <v>4.2</v>
      </c>
      <c r="L80">
        <v>3.5</v>
      </c>
      <c r="M80">
        <v>2024</v>
      </c>
      <c r="O80" t="s">
        <v>311</v>
      </c>
      <c r="P80" t="s">
        <v>314</v>
      </c>
      <c r="R80">
        <v>60</v>
      </c>
      <c r="S80" t="s">
        <v>319</v>
      </c>
      <c r="T80">
        <v>968</v>
      </c>
      <c r="U80" t="s">
        <v>320</v>
      </c>
      <c r="V80" t="s">
        <v>321</v>
      </c>
      <c r="W80" t="s">
        <v>323</v>
      </c>
      <c r="AA80">
        <v>17</v>
      </c>
      <c r="AB80">
        <v>2023</v>
      </c>
      <c r="AC80">
        <v>64</v>
      </c>
      <c r="AD80">
        <v>5</v>
      </c>
      <c r="AE80">
        <v>2012</v>
      </c>
      <c r="AF80">
        <v>2030</v>
      </c>
      <c r="AG80">
        <v>5</v>
      </c>
      <c r="AH80">
        <v>2025</v>
      </c>
      <c r="AI80" t="s">
        <v>327</v>
      </c>
      <c r="AJ80" t="s">
        <v>331</v>
      </c>
      <c r="AK80" t="s">
        <v>350</v>
      </c>
      <c r="AL80" t="s">
        <v>353</v>
      </c>
      <c r="AM80" t="s">
        <v>320</v>
      </c>
      <c r="AN80" t="s">
        <v>358</v>
      </c>
      <c r="AO80" t="s">
        <v>14</v>
      </c>
    </row>
    <row r="81" spans="1:41" x14ac:dyDescent="0.3">
      <c r="A81" s="10" t="s">
        <v>131</v>
      </c>
      <c r="B81" t="s">
        <v>180</v>
      </c>
      <c r="D81" t="s">
        <v>189</v>
      </c>
      <c r="H81" t="s">
        <v>251</v>
      </c>
      <c r="I81" t="s">
        <v>298</v>
      </c>
      <c r="J81" t="s">
        <v>301</v>
      </c>
      <c r="K81">
        <v>8</v>
      </c>
      <c r="L81">
        <v>4.5</v>
      </c>
      <c r="M81">
        <v>2025</v>
      </c>
      <c r="O81" t="s">
        <v>310</v>
      </c>
      <c r="P81" t="s">
        <v>318</v>
      </c>
      <c r="R81">
        <v>195</v>
      </c>
      <c r="S81" t="s">
        <v>320</v>
      </c>
      <c r="T81">
        <v>687</v>
      </c>
      <c r="U81" t="s">
        <v>319</v>
      </c>
      <c r="V81" t="s">
        <v>321</v>
      </c>
      <c r="W81" t="s">
        <v>323</v>
      </c>
      <c r="AA81">
        <v>43</v>
      </c>
      <c r="AB81">
        <v>2024</v>
      </c>
      <c r="AC81">
        <v>433</v>
      </c>
      <c r="AD81">
        <v>10</v>
      </c>
      <c r="AE81">
        <v>2012</v>
      </c>
      <c r="AF81">
        <v>2038</v>
      </c>
      <c r="AG81">
        <v>12</v>
      </c>
      <c r="AH81">
        <v>2024</v>
      </c>
      <c r="AI81" t="s">
        <v>327</v>
      </c>
      <c r="AJ81" t="s">
        <v>337</v>
      </c>
      <c r="AK81" t="s">
        <v>350</v>
      </c>
      <c r="AL81" t="s">
        <v>353</v>
      </c>
      <c r="AM81" t="s">
        <v>320</v>
      </c>
      <c r="AN81" t="s">
        <v>360</v>
      </c>
      <c r="AO81" t="s">
        <v>363</v>
      </c>
    </row>
    <row r="82" spans="1:41" x14ac:dyDescent="0.3">
      <c r="A82" s="10" t="s">
        <v>132</v>
      </c>
      <c r="B82" t="s">
        <v>181</v>
      </c>
      <c r="D82" t="s">
        <v>188</v>
      </c>
      <c r="E82" t="s">
        <v>193</v>
      </c>
      <c r="H82" t="s">
        <v>252</v>
      </c>
      <c r="I82" t="s">
        <v>271</v>
      </c>
      <c r="J82" t="s">
        <v>309</v>
      </c>
      <c r="L82">
        <v>0.8</v>
      </c>
      <c r="M82">
        <v>2023</v>
      </c>
      <c r="O82" t="s">
        <v>311</v>
      </c>
      <c r="P82" t="s">
        <v>314</v>
      </c>
      <c r="R82">
        <v>50</v>
      </c>
      <c r="S82" t="s">
        <v>319</v>
      </c>
      <c r="T82">
        <v>420</v>
      </c>
      <c r="U82" t="s">
        <v>319</v>
      </c>
      <c r="V82" t="s">
        <v>322</v>
      </c>
      <c r="W82" t="s">
        <v>323</v>
      </c>
      <c r="AA82">
        <v>160</v>
      </c>
      <c r="AB82">
        <v>2023</v>
      </c>
      <c r="AC82">
        <v>215</v>
      </c>
      <c r="AD82">
        <v>200</v>
      </c>
      <c r="AG82">
        <v>19</v>
      </c>
      <c r="AJ82" t="s">
        <v>330</v>
      </c>
      <c r="AL82" t="s">
        <v>353</v>
      </c>
      <c r="AM82" t="s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"/>
  <sheetViews>
    <sheetView workbookViewId="0">
      <selection activeCell="A18" sqref="A18"/>
    </sheetView>
  </sheetViews>
  <sheetFormatPr defaultRowHeight="14.4" x14ac:dyDescent="0.3"/>
  <cols>
    <col min="1" max="1" width="35" bestFit="1" customWidth="1"/>
    <col min="2" max="2" width="15.6640625" bestFit="1" customWidth="1"/>
    <col min="3" max="3" width="28.21875" bestFit="1" customWidth="1"/>
    <col min="4" max="4" width="15.21875" bestFit="1" customWidth="1"/>
    <col min="5" max="5" width="12.88671875" bestFit="1" customWidth="1"/>
    <col min="6" max="6" width="14.6640625" bestFit="1" customWidth="1"/>
    <col min="7" max="8" width="16.77734375" bestFit="1" customWidth="1"/>
    <col min="9" max="9" width="11.6640625" bestFit="1" customWidth="1"/>
    <col min="10" max="10" width="14.21875" bestFit="1" customWidth="1"/>
    <col min="11" max="11" width="15.21875" bestFit="1" customWidth="1"/>
    <col min="12" max="12" width="15" bestFit="1" customWidth="1"/>
    <col min="13" max="13" width="14.33203125" bestFit="1" customWidth="1"/>
    <col min="14" max="14" width="13.6640625" bestFit="1" customWidth="1"/>
    <col min="15" max="15" width="18.21875" bestFit="1" customWidth="1"/>
    <col min="16" max="16" width="12.88671875" bestFit="1" customWidth="1"/>
    <col min="17" max="17" width="10.109375" bestFit="1" customWidth="1"/>
    <col min="18" max="18" width="12.21875" bestFit="1" customWidth="1"/>
    <col min="19" max="19" width="11.109375" bestFit="1" customWidth="1"/>
    <col min="20" max="20" width="16.77734375" bestFit="1" customWidth="1"/>
    <col min="21" max="21" width="14.6640625" bestFit="1" customWidth="1"/>
    <col min="23" max="23" width="8.21875" bestFit="1" customWidth="1"/>
    <col min="24" max="24" width="18.6640625" bestFit="1" customWidth="1"/>
    <col min="25" max="25" width="13.77734375" bestFit="1" customWidth="1"/>
    <col min="26" max="26" width="16.44140625" bestFit="1" customWidth="1"/>
  </cols>
  <sheetData>
    <row r="1" spans="1:27" x14ac:dyDescent="0.3">
      <c r="A1" s="6" t="s">
        <v>19</v>
      </c>
      <c r="B1" s="6" t="s">
        <v>20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8</v>
      </c>
      <c r="H1" s="6" t="s">
        <v>30</v>
      </c>
      <c r="I1" s="6" t="s">
        <v>32</v>
      </c>
      <c r="J1" s="6" t="s">
        <v>33</v>
      </c>
      <c r="K1" s="6" t="s">
        <v>366</v>
      </c>
      <c r="L1" s="6" t="s">
        <v>367</v>
      </c>
      <c r="M1" s="6" t="s">
        <v>36</v>
      </c>
      <c r="N1" s="6" t="s">
        <v>9</v>
      </c>
      <c r="O1" s="6" t="s">
        <v>37</v>
      </c>
      <c r="P1" s="6" t="s">
        <v>38</v>
      </c>
      <c r="Q1" s="6" t="s">
        <v>39</v>
      </c>
      <c r="R1" s="6" t="s">
        <v>46</v>
      </c>
      <c r="S1" s="6" t="s">
        <v>47</v>
      </c>
      <c r="T1" s="6" t="s">
        <v>368</v>
      </c>
      <c r="U1" s="6" t="s">
        <v>369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4"/>
    </row>
    <row r="2" spans="1:27" x14ac:dyDescent="0.3">
      <c r="A2" s="10" t="s">
        <v>370</v>
      </c>
      <c r="C2" t="s">
        <v>202</v>
      </c>
      <c r="D2" t="s">
        <v>202</v>
      </c>
      <c r="E2" t="s">
        <v>299</v>
      </c>
      <c r="F2">
        <v>8.6999999999999993</v>
      </c>
      <c r="G2">
        <v>0.87</v>
      </c>
      <c r="I2" t="s">
        <v>310</v>
      </c>
      <c r="L2">
        <v>80</v>
      </c>
      <c r="M2" t="s">
        <v>319</v>
      </c>
      <c r="N2">
        <v>200</v>
      </c>
      <c r="O2" t="s">
        <v>320</v>
      </c>
      <c r="P2" t="s">
        <v>321</v>
      </c>
      <c r="R2">
        <v>2017</v>
      </c>
      <c r="W2" t="s">
        <v>388</v>
      </c>
      <c r="X2" t="s">
        <v>350</v>
      </c>
      <c r="Y2" t="s">
        <v>353</v>
      </c>
      <c r="Z2" t="s">
        <v>320</v>
      </c>
    </row>
    <row r="3" spans="1:27" x14ac:dyDescent="0.3">
      <c r="A3" s="10" t="s">
        <v>371</v>
      </c>
      <c r="C3" t="s">
        <v>222</v>
      </c>
      <c r="D3" t="s">
        <v>384</v>
      </c>
      <c r="E3" t="s">
        <v>299</v>
      </c>
      <c r="G3">
        <v>2.5</v>
      </c>
      <c r="I3" t="s">
        <v>311</v>
      </c>
      <c r="K3">
        <v>2.5</v>
      </c>
      <c r="L3">
        <v>60</v>
      </c>
      <c r="M3" t="s">
        <v>319</v>
      </c>
      <c r="P3" t="s">
        <v>321</v>
      </c>
      <c r="Z3" t="s">
        <v>320</v>
      </c>
    </row>
    <row r="4" spans="1:27" x14ac:dyDescent="0.3">
      <c r="A4" s="10" t="s">
        <v>372</v>
      </c>
      <c r="C4" t="s">
        <v>380</v>
      </c>
      <c r="I4" t="s">
        <v>311</v>
      </c>
      <c r="J4" t="s">
        <v>314</v>
      </c>
      <c r="K4">
        <v>13.7</v>
      </c>
      <c r="L4">
        <v>50</v>
      </c>
      <c r="M4" t="s">
        <v>319</v>
      </c>
      <c r="P4" t="s">
        <v>322</v>
      </c>
      <c r="Q4" t="s">
        <v>323</v>
      </c>
      <c r="S4">
        <v>2020</v>
      </c>
      <c r="T4" t="s">
        <v>385</v>
      </c>
      <c r="U4" t="s">
        <v>387</v>
      </c>
      <c r="W4" t="s">
        <v>331</v>
      </c>
      <c r="X4" t="s">
        <v>350</v>
      </c>
      <c r="Y4" t="s">
        <v>353</v>
      </c>
      <c r="Z4" t="s">
        <v>357</v>
      </c>
    </row>
    <row r="5" spans="1:27" x14ac:dyDescent="0.3">
      <c r="A5" s="10" t="s">
        <v>373</v>
      </c>
      <c r="C5" t="s">
        <v>380</v>
      </c>
      <c r="I5" t="s">
        <v>311</v>
      </c>
      <c r="J5" t="s">
        <v>314</v>
      </c>
      <c r="K5">
        <v>13.7</v>
      </c>
      <c r="L5">
        <v>50</v>
      </c>
      <c r="M5" t="s">
        <v>319</v>
      </c>
      <c r="P5" t="s">
        <v>322</v>
      </c>
      <c r="Q5" t="s">
        <v>323</v>
      </c>
      <c r="S5">
        <v>2020</v>
      </c>
      <c r="T5" t="s">
        <v>385</v>
      </c>
      <c r="W5" t="s">
        <v>331</v>
      </c>
      <c r="X5" t="s">
        <v>350</v>
      </c>
      <c r="Y5" t="s">
        <v>353</v>
      </c>
      <c r="Z5" t="s">
        <v>357</v>
      </c>
    </row>
    <row r="6" spans="1:27" x14ac:dyDescent="0.3">
      <c r="A6" s="10" t="s">
        <v>374</v>
      </c>
      <c r="C6" t="s">
        <v>381</v>
      </c>
      <c r="I6" t="s">
        <v>311</v>
      </c>
      <c r="J6" t="s">
        <v>314</v>
      </c>
      <c r="L6">
        <v>60</v>
      </c>
      <c r="M6" t="s">
        <v>319</v>
      </c>
      <c r="P6" t="s">
        <v>321</v>
      </c>
      <c r="R6">
        <v>2009</v>
      </c>
      <c r="S6">
        <v>2019</v>
      </c>
      <c r="T6" t="s">
        <v>386</v>
      </c>
      <c r="U6" t="s">
        <v>387</v>
      </c>
      <c r="Z6" t="s">
        <v>320</v>
      </c>
    </row>
    <row r="7" spans="1:27" x14ac:dyDescent="0.3">
      <c r="A7" s="10" t="s">
        <v>375</v>
      </c>
      <c r="C7" t="s">
        <v>382</v>
      </c>
      <c r="F7">
        <v>1.8</v>
      </c>
      <c r="I7" t="s">
        <v>311</v>
      </c>
      <c r="J7" t="s">
        <v>314</v>
      </c>
      <c r="K7">
        <v>0.85</v>
      </c>
      <c r="L7">
        <v>60</v>
      </c>
      <c r="M7" t="s">
        <v>319</v>
      </c>
      <c r="P7" t="s">
        <v>321</v>
      </c>
      <c r="S7">
        <v>2022</v>
      </c>
      <c r="Z7" t="s">
        <v>357</v>
      </c>
    </row>
    <row r="8" spans="1:27" x14ac:dyDescent="0.3">
      <c r="A8" s="10" t="s">
        <v>376</v>
      </c>
      <c r="C8" t="s">
        <v>383</v>
      </c>
      <c r="G8">
        <v>1.0349999999999999</v>
      </c>
      <c r="H8">
        <v>2015</v>
      </c>
      <c r="I8" t="s">
        <v>311</v>
      </c>
      <c r="J8" t="s">
        <v>314</v>
      </c>
      <c r="L8">
        <v>60</v>
      </c>
      <c r="M8" t="s">
        <v>319</v>
      </c>
      <c r="P8" t="s">
        <v>321</v>
      </c>
      <c r="Q8" t="s">
        <v>323</v>
      </c>
      <c r="S8">
        <v>2015</v>
      </c>
      <c r="T8" t="s">
        <v>385</v>
      </c>
      <c r="U8" t="s">
        <v>387</v>
      </c>
      <c r="X8" t="s">
        <v>389</v>
      </c>
      <c r="Y8" t="s">
        <v>353</v>
      </c>
      <c r="Z8" t="s">
        <v>357</v>
      </c>
    </row>
    <row r="9" spans="1:27" x14ac:dyDescent="0.3">
      <c r="A9" s="10" t="s">
        <v>377</v>
      </c>
      <c r="C9" t="s">
        <v>213</v>
      </c>
      <c r="D9" t="s">
        <v>381</v>
      </c>
      <c r="E9" t="s">
        <v>299</v>
      </c>
      <c r="F9">
        <v>1.44</v>
      </c>
      <c r="G9">
        <v>1.7</v>
      </c>
      <c r="H9">
        <v>2022</v>
      </c>
      <c r="I9" t="s">
        <v>311</v>
      </c>
      <c r="J9" t="s">
        <v>314</v>
      </c>
      <c r="L9">
        <v>60</v>
      </c>
      <c r="M9" t="s">
        <v>319</v>
      </c>
      <c r="N9">
        <v>310</v>
      </c>
      <c r="O9" t="s">
        <v>320</v>
      </c>
      <c r="P9" t="s">
        <v>321</v>
      </c>
      <c r="Q9" t="s">
        <v>323</v>
      </c>
      <c r="R9">
        <v>2013</v>
      </c>
      <c r="S9">
        <v>2023</v>
      </c>
      <c r="T9" t="s">
        <v>385</v>
      </c>
      <c r="U9" t="s">
        <v>387</v>
      </c>
      <c r="V9" t="s">
        <v>327</v>
      </c>
      <c r="X9" t="s">
        <v>335</v>
      </c>
      <c r="Y9" t="s">
        <v>353</v>
      </c>
      <c r="Z9" t="s">
        <v>320</v>
      </c>
    </row>
    <row r="10" spans="1:27" x14ac:dyDescent="0.3">
      <c r="A10" s="10" t="s">
        <v>378</v>
      </c>
      <c r="B10" t="s">
        <v>379</v>
      </c>
      <c r="C10" t="s">
        <v>202</v>
      </c>
      <c r="D10" t="s">
        <v>202</v>
      </c>
      <c r="E10" t="s">
        <v>299</v>
      </c>
      <c r="G10">
        <v>0.129</v>
      </c>
      <c r="H10">
        <v>2017</v>
      </c>
      <c r="I10" t="s">
        <v>311</v>
      </c>
      <c r="J10" t="s">
        <v>314</v>
      </c>
      <c r="L10">
        <v>50</v>
      </c>
      <c r="M10" t="s">
        <v>319</v>
      </c>
      <c r="P10" t="s">
        <v>322</v>
      </c>
      <c r="Q10" t="s">
        <v>323</v>
      </c>
      <c r="R10">
        <v>2017</v>
      </c>
      <c r="S10">
        <v>2018</v>
      </c>
      <c r="U10" t="s">
        <v>387</v>
      </c>
      <c r="W10" t="s">
        <v>342</v>
      </c>
      <c r="Y10" t="s">
        <v>353</v>
      </c>
      <c r="Z10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&amp; Forecast</vt:lpstr>
      <vt:lpstr>Q1 Domestic trap</vt:lpstr>
      <vt:lpstr>Q2 Capital penalty</vt:lpstr>
      <vt:lpstr>Q3 Export mirage</vt:lpstr>
      <vt:lpstr>DB dim Commercial risk</vt:lpstr>
      <vt:lpstr>Operating mines</vt:lpstr>
      <vt:lpstr>Closed mines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Lenglet Frenchy</cp:lastModifiedBy>
  <dcterms:created xsi:type="dcterms:W3CDTF">2026-07-03T14:23:18Z</dcterms:created>
  <dcterms:modified xsi:type="dcterms:W3CDTF">2026-07-03T17:56:54Z</dcterms:modified>
</cp:coreProperties>
</file>